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f6ddb0b53fc2e6/Documentos/Excel training/"/>
    </mc:Choice>
  </mc:AlternateContent>
  <xr:revisionPtr revIDLastSave="0" documentId="8_{9E4A142C-5824-4A48-8D73-39851F161BAA}" xr6:coauthVersionLast="47" xr6:coauthVersionMax="47" xr10:uidLastSave="{00000000-0000-0000-0000-000000000000}"/>
  <bookViews>
    <workbookView xWindow="-110" yWindow="-110" windowWidth="19420" windowHeight="11500" xr2:uid="{C2F45806-6F1D-4EA4-B5D5-49DDABBD6DF1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0" i="1"/>
  <c r="G19" i="1"/>
  <c r="G18" i="1"/>
  <c r="G17" i="1"/>
  <c r="G16" i="1"/>
  <c r="G15" i="1"/>
  <c r="G14" i="1"/>
  <c r="G13" i="1"/>
  <c r="G12" i="1"/>
  <c r="G11" i="1"/>
  <c r="G10" i="1"/>
  <c r="G9" i="1"/>
  <c r="G7" i="1"/>
  <c r="G8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<sst xmlns="http://schemas.openxmlformats.org/spreadsheetml/2006/main" count="84" uniqueCount="49">
  <si>
    <t>(Product name)</t>
  </si>
  <si>
    <t>(Category)</t>
  </si>
  <si>
    <t>(Quantity on stock)</t>
  </si>
  <si>
    <t>(Unit Price)(Ksh)</t>
  </si>
  <si>
    <t>(Items sold)</t>
  </si>
  <si>
    <t>(Remaining stock)</t>
  </si>
  <si>
    <t>(Remarks)</t>
  </si>
  <si>
    <t>(Product ID)</t>
  </si>
  <si>
    <t>P002</t>
  </si>
  <si>
    <t>P003</t>
  </si>
  <si>
    <t>P004</t>
  </si>
  <si>
    <t>P005</t>
  </si>
  <si>
    <t>Pens</t>
  </si>
  <si>
    <t>Notebooks</t>
  </si>
  <si>
    <t>Bottles</t>
  </si>
  <si>
    <t>Backpacks</t>
  </si>
  <si>
    <t>T-shirts</t>
  </si>
  <si>
    <t>Stationery</t>
  </si>
  <si>
    <t>Accessories</t>
  </si>
  <si>
    <t>Bags</t>
  </si>
  <si>
    <t>Clothing</t>
  </si>
  <si>
    <t>(Total Sales)(Ksh)</t>
  </si>
  <si>
    <t>P006</t>
  </si>
  <si>
    <t>P007</t>
  </si>
  <si>
    <t>P008</t>
  </si>
  <si>
    <t>P009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</si>
  <si>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</si>
  <si>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</si>
  <si>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</si>
  <si>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</si>
  <si>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</si>
  <si>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</si>
  <si>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</si>
  <si>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</si>
  <si>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</si>
  <si>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</si>
  <si>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</si>
  <si>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Socks</t>
  </si>
  <si>
    <t>Trousers</t>
  </si>
  <si>
    <t>Shoes</t>
  </si>
  <si>
    <t>Chalks</t>
  </si>
  <si>
    <t>Sweaters</t>
  </si>
  <si>
    <t>Jackets</t>
  </si>
  <si>
    <t>Textbooks</t>
  </si>
  <si>
    <t>Story books</t>
  </si>
  <si>
    <t>Colours</t>
  </si>
  <si>
    <t>Dictionary</t>
  </si>
  <si>
    <t>Rulers</t>
  </si>
  <si>
    <t>Sum of (Total Sales)(Ksh)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</si>
</sst>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[Tosh project 2025.xlsx]Sheet2!PivotTable5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Sum of (Total Sales)(Ksh) by (Product name)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Sheet2!$A$4:$A$19</c:f>
              <c:strCache>
                <c:ptCount val="16"/>
                <c:pt idx="0">
                  <c:v>Backpacks</c:v>
                </c:pt>
                <c:pt idx="1">
                  <c:v>Bottles</c:v>
                </c:pt>
                <c:pt idx="2">
                  <c:v>Chalks</c:v>
                </c:pt>
                <c:pt idx="3">
                  <c:v>Colours</c:v>
                </c:pt>
                <c:pt idx="4">
                  <c:v>Dictionary</c:v>
                </c:pt>
                <c:pt idx="5">
                  <c:v>Jackets</c:v>
                </c:pt>
                <c:pt idx="6">
                  <c:v>Notebooks</c:v>
                </c:pt>
                <c:pt idx="7">
                  <c:v>Pens</c:v>
                </c:pt>
                <c:pt idx="8">
                  <c:v>Rulers</c:v>
                </c:pt>
                <c:pt idx="9">
                  <c:v>Shoes</c:v>
                </c:pt>
                <c:pt idx="10">
                  <c:v>Socks</c:v>
                </c:pt>
                <c:pt idx="11">
                  <c:v>Story books</c:v>
                </c:pt>
                <c:pt idx="12">
                  <c:v>Sweaters</c:v>
                </c:pt>
                <c:pt idx="13">
                  <c:v>Textbooks</c:v>
                </c:pt>
                <c:pt idx="14">
                  <c:v>Trousers</c:v>
                </c:pt>
                <c:pt idx="15">
                  <c:v>T-shirts</c:v>
                </c:pt>
              </c:strCache>
            </c:strRef>
          </c:cat>
          <c:val>
            <c:numRef>
              <c:f>Sheet2!$B$4:$B$19</c:f>
              <c:numCache>
                <c:formatCode>General</c:formatCode>
                <c:ptCount val="16"/>
                <c:pt idx="0">
                  <c:v>10500</c:v>
                </c:pt>
                <c:pt idx="1">
                  <c:v>6250</c:v>
                </c:pt>
                <c:pt idx="2">
                  <c:v>5400</c:v>
                </c:pt>
                <c:pt idx="3">
                  <c:v>4800</c:v>
                </c:pt>
                <c:pt idx="4">
                  <c:v>128720</c:v>
                </c:pt>
                <c:pt idx="5">
                  <c:v>18660</c:v>
                </c:pt>
                <c:pt idx="6">
                  <c:v>2000</c:v>
                </c:pt>
                <c:pt idx="7">
                  <c:v>1890</c:v>
                </c:pt>
                <c:pt idx="8">
                  <c:v>2900</c:v>
                </c:pt>
                <c:pt idx="9">
                  <c:v>26400</c:v>
                </c:pt>
                <c:pt idx="10">
                  <c:v>34400</c:v>
                </c:pt>
                <c:pt idx="11">
                  <c:v>69000</c:v>
                </c:pt>
                <c:pt idx="12">
                  <c:v>11700</c:v>
                </c:pt>
                <c:pt idx="13">
                  <c:v>49504</c:v>
                </c:pt>
                <c:pt idx="14">
                  <c:v>3000</c:v>
                </c:pt>
                <c:pt idx="15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9-42F2-B6D5-84D4FEE0D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6253280"/>
        <c:axId val="1276252320"/>
      </c:barChart>
      <c:catAx>
        <c:axId val="127625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76252320"/>
        <c:crosses val="autoZero"/>
        <c:auto val="1"/>
        <c:lblAlgn val="ctr"/>
        <c:lblOffset val="100"/>
        <c:noMultiLvlLbl val="0"/>
      </c:catAx>
      <c:valAx>
        <c:axId val="127625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7625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250825</xdr:colOff>
      <xdr:row>19</xdr:row>
      <xdr:rowOff>127000</xdr:rowOff>
    </xdr:from>
    <xdr:to>
      <xdr:col>5</xdr:col>
      <xdr:colOff>339725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2F9528-9BF4-E445-855D-62DB3E7CE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g. Mutegi" refreshedDate="45964.436185763887" createdVersion="8" refreshedVersion="8" minRefreshableVersion="3" recordCount="19" xr:uid="{EB8014CF-B7AD-4911-A413-463709AD5060}">
  <cacheSource type="worksheet">
    <worksheetSource ref="A1:I20" sheet="Sheet1"/>
  </cacheSource>
  <cacheFields count="9">
    <cacheField name="(Product ID)" numFmtId="0">
      <sharedItems/>
    </cacheField>
    <cacheField name="(Product name)" numFmtId="0">
      <sharedItems count="16">
        <s v="Pens"/>
        <s v="Notebooks"/>
        <s v="Bottles"/>
        <s v="Backpacks"/>
        <s v="T-shirts"/>
        <s v="Socks"/>
        <s v="Trousers"/>
        <s v="Shoes"/>
        <s v="Chalks"/>
        <s v="Sweaters"/>
        <s v="Jackets"/>
        <s v="Textbooks"/>
        <s v="Dictionary"/>
        <s v="Story books"/>
        <s v="Colours"/>
        <s v="Rulers"/>
      </sharedItems>
    </cacheField>
    <cacheField name="(Category)" numFmtId="0">
      <sharedItems/>
    </cacheField>
    <cacheField name="(Quantity on stock)" numFmtId="0">
      <sharedItems containsSemiMixedTypes="0" containsString="0" containsNumber="1" containsInteger="1" minValue="50" maxValue="1200"/>
    </cacheField>
    <cacheField name="(Unit Price)(Ksh)" numFmtId="0">
      <sharedItems containsSemiMixedTypes="0" containsString="0" containsNumber="1" containsInteger="1" minValue="30" maxValue="3000"/>
    </cacheField>
    <cacheField name="(Items sold)" numFmtId="0">
      <sharedItems containsSemiMixedTypes="0" containsString="0" containsNumber="1" containsInteger="1" minValue="3" maxValue="90"/>
    </cacheField>
    <cacheField name="(Total Sales)(Ksh)" numFmtId="0">
      <sharedItems containsSemiMixedTypes="0" containsString="0" containsNumber="1" containsInteger="1" minValue="690" maxValue="71600"/>
    </cacheField>
    <cacheField name="(Remaining stock)" numFmtId="0">
      <sharedItems containsSemiMixedTypes="0" containsString="0" containsNumber="1" containsInteger="1" minValue="10" maxValue="1188"/>
    </cacheField>
    <cacheField name="(Remarks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P002"/>
    <x v="0"/>
    <s v="Stationery"/>
    <n v="120"/>
    <n v="30"/>
    <n v="40"/>
    <n v="1200"/>
    <n v="80"/>
    <s v="instock"/>
  </r>
  <r>
    <s v="P003"/>
    <x v="1"/>
    <s v="Stationery"/>
    <n v="90"/>
    <n v="100"/>
    <n v="20"/>
    <n v="2000"/>
    <n v="70"/>
    <s v="instock"/>
  </r>
  <r>
    <s v="P004"/>
    <x v="2"/>
    <s v="Accessories"/>
    <n v="60"/>
    <n v="250"/>
    <n v="25"/>
    <n v="6250"/>
    <n v="35"/>
    <s v="instock"/>
  </r>
  <r>
    <s v="P005"/>
    <x v="3"/>
    <s v="Bags"/>
    <n v="50"/>
    <n v="700"/>
    <n v="15"/>
    <n v="10500"/>
    <n v="35"/>
    <s v="instock"/>
  </r>
  <r>
    <s v="P006"/>
    <x v="4"/>
    <s v="Clothing"/>
    <n v="80"/>
    <n v="500"/>
    <n v="30"/>
    <n v="15000"/>
    <n v="50"/>
    <s v="instock"/>
  </r>
  <r>
    <s v="P007"/>
    <x v="5"/>
    <s v="Clothing"/>
    <n v="50"/>
    <n v="1720"/>
    <n v="20"/>
    <n v="34400"/>
    <n v="30"/>
    <s v="instock"/>
  </r>
  <r>
    <s v="P008"/>
    <x v="6"/>
    <s v="Clothing"/>
    <n v="200"/>
    <n v="100"/>
    <n v="30"/>
    <n v="3000"/>
    <n v="170"/>
    <s v="instock"/>
  </r>
  <r>
    <s v="P009"/>
    <x v="7"/>
    <s v="Clothing"/>
    <n v="1000"/>
    <n v="1200"/>
    <n v="22"/>
    <n v="26400"/>
    <n v="978"/>
    <s v="instock"/>
  </r>
  <r>
    <s v="P0010"/>
    <x v="8"/>
    <s v="Stationery"/>
    <n v="70"/>
    <n v="1800"/>
    <n v="3"/>
    <n v="5400"/>
    <n v="67"/>
    <s v="instock"/>
  </r>
  <r>
    <s v="P0011"/>
    <x v="9"/>
    <s v="Clothing"/>
    <n v="100"/>
    <n v="130"/>
    <n v="90"/>
    <n v="11700"/>
    <n v="10"/>
    <s v="restock soon"/>
  </r>
  <r>
    <s v="P0012"/>
    <x v="10"/>
    <s v="Clothing"/>
    <n v="1200"/>
    <n v="1555"/>
    <n v="12"/>
    <n v="18660"/>
    <n v="1188"/>
    <s v="instock"/>
  </r>
  <r>
    <s v="P0013"/>
    <x v="11"/>
    <s v="Stationery"/>
    <n v="150"/>
    <n v="1456"/>
    <n v="34"/>
    <n v="49504"/>
    <n v="116"/>
    <s v="instock"/>
  </r>
  <r>
    <s v="P0014"/>
    <x v="12"/>
    <s v="Stationery"/>
    <n v="250"/>
    <n v="1790"/>
    <n v="40"/>
    <n v="71600"/>
    <n v="210"/>
    <s v="instock"/>
  </r>
  <r>
    <s v="P0015"/>
    <x v="13"/>
    <s v="Stationery"/>
    <n v="150"/>
    <n v="3000"/>
    <n v="23"/>
    <n v="69000"/>
    <n v="127"/>
    <s v="instock"/>
  </r>
  <r>
    <s v="P0016"/>
    <x v="14"/>
    <s v="Stationery"/>
    <n v="190"/>
    <n v="400"/>
    <n v="12"/>
    <n v="4800"/>
    <n v="178"/>
    <s v="instock"/>
  </r>
  <r>
    <s v="P0017"/>
    <x v="12"/>
    <s v="Stationery"/>
    <n v="210"/>
    <n v="1680"/>
    <n v="34"/>
    <n v="57120"/>
    <n v="176"/>
    <s v="instock"/>
  </r>
  <r>
    <s v="P0018"/>
    <x v="15"/>
    <s v="Stationery"/>
    <n v="235"/>
    <n v="50"/>
    <n v="24"/>
    <n v="1200"/>
    <n v="211"/>
    <s v="instock"/>
  </r>
  <r>
    <s v="P0019"/>
    <x v="15"/>
    <s v="Stationery"/>
    <n v="213"/>
    <n v="50"/>
    <n v="34"/>
    <n v="1700"/>
    <n v="179"/>
    <s v="instock"/>
  </r>
  <r>
    <s v="P0020"/>
    <x v="0"/>
    <s v="Stationery"/>
    <n v="342"/>
    <n v="30"/>
    <n v="23"/>
    <n v="690"/>
    <n v="319"/>
    <s v="instoc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0536D-5BDE-4B71-8649-BA217E50D093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9" firstHeaderRow="1" firstDataRow="1" firstDataCol="1"/>
  <pivotFields count="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2"/>
        <item x="8"/>
        <item x="14"/>
        <item x="12"/>
        <item x="10"/>
        <item x="1"/>
        <item x="0"/>
        <item x="15"/>
        <item x="7"/>
        <item x="5"/>
        <item x="13"/>
        <item x="9"/>
        <item x="1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Items count="1">
    <i/>
  </colItems>
  <dataFields count="1">
    <dataField name="Sum of (Total Sales)(Ksh)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027D-38BB-45A2-B137-239D39C45B74}">
  <dimension ref="A3:B19"/>
  <sheetViews>
    <sheetView tabSelected="1" workbookViewId="0">
      <selection activeCell="J34" sqref="J34"/>
    </sheetView>
  </sheetViews>
  <sheetFormatPr defaultRowHeight="14.5" x14ac:dyDescent="0.35"/>
  <cols>
    <col min="1" max="1" width="16.08984375" bestFit="1" customWidth="1"/>
    <col min="2" max="2" width="21.90625" bestFit="1" customWidth="1"/>
  </cols>
  <sheetData>
    <row r="3" spans="1:2" x14ac:dyDescent="0.35">
      <c r="A3" s="1" t="s">
        <v>0</v>
      </c>
      <c r="B3" t="s">
        <v>48</v>
      </c>
    </row>
    <row r="4" spans="1:2" x14ac:dyDescent="0.35">
      <c r="A4" t="s">
        <v>15</v>
      </c>
      <c r="B4">
        <v>10500</v>
      </c>
    </row>
    <row r="5" spans="1:2" x14ac:dyDescent="0.35">
      <c r="A5" t="s">
        <v>14</v>
      </c>
      <c r="B5">
        <v>6250</v>
      </c>
    </row>
    <row r="6" spans="1:2" x14ac:dyDescent="0.35">
      <c r="A6" t="s">
        <v>40</v>
      </c>
      <c r="B6">
        <v>5400</v>
      </c>
    </row>
    <row r="7" spans="1:2" x14ac:dyDescent="0.35">
      <c r="A7" t="s">
        <v>45</v>
      </c>
      <c r="B7">
        <v>4800</v>
      </c>
    </row>
    <row r="8" spans="1:2" x14ac:dyDescent="0.35">
      <c r="A8" t="s">
        <v>46</v>
      </c>
      <c r="B8">
        <v>128720</v>
      </c>
    </row>
    <row r="9" spans="1:2" x14ac:dyDescent="0.35">
      <c r="A9" t="s">
        <v>42</v>
      </c>
      <c r="B9">
        <v>18660</v>
      </c>
    </row>
    <row r="10" spans="1:2" x14ac:dyDescent="0.35">
      <c r="A10" t="s">
        <v>13</v>
      </c>
      <c r="B10">
        <v>2000</v>
      </c>
    </row>
    <row r="11" spans="1:2" x14ac:dyDescent="0.35">
      <c r="A11" t="s">
        <v>12</v>
      </c>
      <c r="B11">
        <v>1890</v>
      </c>
    </row>
    <row r="12" spans="1:2" x14ac:dyDescent="0.35">
      <c r="A12" t="s">
        <v>47</v>
      </c>
      <c r="B12">
        <v>2900</v>
      </c>
    </row>
    <row r="13" spans="1:2" x14ac:dyDescent="0.35">
      <c r="A13" t="s">
        <v>39</v>
      </c>
      <c r="B13">
        <v>26400</v>
      </c>
    </row>
    <row r="14" spans="1:2" x14ac:dyDescent="0.35">
      <c r="A14" t="s">
        <v>37</v>
      </c>
      <c r="B14">
        <v>34400</v>
      </c>
    </row>
    <row r="15" spans="1:2" x14ac:dyDescent="0.35">
      <c r="A15" t="s">
        <v>44</v>
      </c>
      <c r="B15">
        <v>69000</v>
      </c>
    </row>
    <row r="16" spans="1:2" x14ac:dyDescent="0.35">
      <c r="A16" t="s">
        <v>41</v>
      </c>
      <c r="B16">
        <v>11700</v>
      </c>
    </row>
    <row r="17" spans="1:2" x14ac:dyDescent="0.35">
      <c r="A17" t="s">
        <v>43</v>
      </c>
      <c r="B17">
        <v>49504</v>
      </c>
    </row>
    <row r="18" spans="1:2" x14ac:dyDescent="0.35">
      <c r="A18" t="s">
        <v>38</v>
      </c>
      <c r="B18">
        <v>3000</v>
      </c>
    </row>
    <row r="19" spans="1:2" x14ac:dyDescent="0.35">
      <c r="A19" t="s">
        <v>16</v>
      </c>
      <c r="B19">
        <v>15000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B6DF-6B8B-4FC9-BBE4-1DCE3F61D423}">
  <dimension ref="A1:I20"/>
  <sheetViews>
    <sheetView workbookViewId="0">
      <selection activeCell="G2" activeCellId="1" sqref="B2:B20 G2:G20"/>
    </sheetView>
  </sheetViews>
  <sheetFormatPr defaultRowHeight="14.5" x14ac:dyDescent="0.35"/>
  <cols>
    <col min="1" max="1" width="10.26953125" bestFit="1" customWidth="1"/>
    <col min="2" max="2" width="13.453125" bestFit="1" customWidth="1"/>
    <col min="3" max="3" width="10.7265625" bestFit="1" customWidth="1"/>
    <col min="4" max="4" width="16.26953125" bestFit="1" customWidth="1"/>
    <col min="5" max="5" width="14.26953125" bestFit="1" customWidth="1"/>
    <col min="6" max="6" width="10.36328125" bestFit="1" customWidth="1"/>
    <col min="7" max="7" width="16.08984375" bestFit="1" customWidth="1"/>
    <col min="8" max="8" width="15.453125" bestFit="1" customWidth="1"/>
    <col min="9" max="9" width="11.1796875" bestFit="1" customWidth="1"/>
  </cols>
  <sheetData>
    <row r="1" spans="1:9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21</v>
      </c>
      <c r="H1" t="s">
        <v>5</v>
      </c>
      <c r="I1" t="s">
        <v>6</v>
      </c>
    </row>
    <row r="2" spans="1:9" x14ac:dyDescent="0.35">
      <c r="A2" t="s">
        <v>8</v>
      </c>
      <c r="B2" t="s">
        <v>12</v>
      </c>
      <c r="C2" t="s">
        <v>17</v>
      </c>
      <c r="D2">
        <v>120</v>
      </c>
      <c r="E2">
        <v>30</v>
      </c>
      <c r="F2">
        <v>40</v>
      </c>
      <c r="G2">
        <f t="shared" ref="G2:G20" si="0">F2*E2</f>
        <v>1200</v>
      </c>
      <c r="H2">
        <f>D2-F2</f>
        <v>80</v>
      </c>
      <c r="I2" t="str">
        <f>IF(H2&lt;20,"restock soon","instock")</f>
        <v>instock</v>
      </c>
    </row>
    <row r="3" spans="1:9" x14ac:dyDescent="0.35">
      <c r="A3" t="s">
        <v>9</v>
      </c>
      <c r="B3" t="s">
        <v>13</v>
      </c>
      <c r="C3" t="s">
        <v>17</v>
      </c>
      <c r="D3">
        <v>90</v>
      </c>
      <c r="E3">
        <v>100</v>
      </c>
      <c r="F3">
        <v>20</v>
      </c>
      <c r="G3">
        <f t="shared" si="0"/>
        <v>2000</v>
      </c>
      <c r="H3">
        <f t="shared" ref="H3:H20" si="1">D3-F3</f>
        <v>70</v>
      </c>
      <c r="I3" t="str">
        <f t="shared" ref="I3:I20" si="2">IF(H3&lt;20,"restock soon","instock")</f>
        <v>instock</v>
      </c>
    </row>
    <row r="4" spans="1:9" x14ac:dyDescent="0.35">
      <c r="A4" t="s">
        <v>10</v>
      </c>
      <c r="B4" t="s">
        <v>14</v>
      </c>
      <c r="C4" t="s">
        <v>18</v>
      </c>
      <c r="D4">
        <v>60</v>
      </c>
      <c r="E4">
        <v>250</v>
      </c>
      <c r="F4">
        <v>25</v>
      </c>
      <c r="G4">
        <f t="shared" si="0"/>
        <v>6250</v>
      </c>
      <c r="H4">
        <f t="shared" si="1"/>
        <v>35</v>
      </c>
      <c r="I4" t="str">
        <f t="shared" si="2"/>
        <v>instock</v>
      </c>
    </row>
    <row r="5" spans="1:9" x14ac:dyDescent="0.35">
      <c r="A5" t="s">
        <v>11</v>
      </c>
      <c r="B5" t="s">
        <v>15</v>
      </c>
      <c r="C5" t="s">
        <v>19</v>
      </c>
      <c r="D5">
        <v>50</v>
      </c>
      <c r="E5">
        <v>700</v>
      </c>
      <c r="F5">
        <v>15</v>
      </c>
      <c r="G5">
        <f t="shared" si="0"/>
        <v>10500</v>
      </c>
      <c r="H5">
        <f t="shared" si="1"/>
        <v>35</v>
      </c>
      <c r="I5" t="str">
        <f t="shared" si="2"/>
        <v>instock</v>
      </c>
    </row>
    <row r="6" spans="1:9" x14ac:dyDescent="0.35">
      <c r="A6" t="s">
        <v>22</v>
      </c>
      <c r="B6" t="s">
        <v>16</v>
      </c>
      <c r="C6" t="s">
        <v>20</v>
      </c>
      <c r="D6">
        <v>80</v>
      </c>
      <c r="E6">
        <v>500</v>
      </c>
      <c r="F6">
        <v>30</v>
      </c>
      <c r="G6">
        <f t="shared" si="0"/>
        <v>15000</v>
      </c>
      <c r="H6">
        <f t="shared" si="1"/>
        <v>50</v>
      </c>
      <c r="I6" t="str">
        <f t="shared" si="2"/>
        <v>instock</v>
      </c>
    </row>
    <row r="7" spans="1:9" x14ac:dyDescent="0.35">
      <c r="A7" t="s">
        <v>23</v>
      </c>
      <c r="B7" t="s">
        <v>37</v>
      </c>
      <c r="C7" t="s">
        <v>20</v>
      </c>
      <c r="D7">
        <v>50</v>
      </c>
      <c r="E7">
        <v>1720</v>
      </c>
      <c r="F7">
        <v>20</v>
      </c>
      <c r="G7">
        <f t="shared" si="0"/>
        <v>34400</v>
      </c>
      <c r="H7">
        <f t="shared" si="1"/>
        <v>30</v>
      </c>
      <c r="I7" t="str">
        <f t="shared" si="2"/>
        <v>instock</v>
      </c>
    </row>
    <row r="8" spans="1:9" x14ac:dyDescent="0.35">
      <c r="A8" t="s">
        <v>24</v>
      </c>
      <c r="B8" t="s">
        <v>38</v>
      </c>
      <c r="C8" t="s">
        <v>20</v>
      </c>
      <c r="D8">
        <v>200</v>
      </c>
      <c r="E8">
        <v>100</v>
      </c>
      <c r="F8">
        <v>30</v>
      </c>
      <c r="G8">
        <f t="shared" si="0"/>
        <v>3000</v>
      </c>
      <c r="H8">
        <f t="shared" si="1"/>
        <v>170</v>
      </c>
      <c r="I8" t="str">
        <f t="shared" si="2"/>
        <v>instock</v>
      </c>
    </row>
    <row r="9" spans="1:9" x14ac:dyDescent="0.35">
      <c r="A9" t="s">
        <v>25</v>
      </c>
      <c r="B9" t="s">
        <v>39</v>
      </c>
      <c r="C9" t="s">
        <v>20</v>
      </c>
      <c r="D9">
        <v>1000</v>
      </c>
      <c r="E9">
        <v>1200</v>
      </c>
      <c r="F9">
        <v>22</v>
      </c>
      <c r="G9">
        <f t="shared" si="0"/>
        <v>26400</v>
      </c>
      <c r="H9">
        <f t="shared" si="1"/>
        <v>978</v>
      </c>
      <c r="I9" t="str">
        <f t="shared" si="2"/>
        <v>instock</v>
      </c>
    </row>
    <row r="10" spans="1:9" x14ac:dyDescent="0.35">
      <c r="A10" t="s">
        <v>26</v>
      </c>
      <c r="B10" t="s">
        <v>40</v>
      </c>
      <c r="C10" t="s">
        <v>17</v>
      </c>
      <c r="D10">
        <v>70</v>
      </c>
      <c r="E10">
        <v>1800</v>
      </c>
      <c r="F10">
        <v>3</v>
      </c>
      <c r="G10">
        <f t="shared" si="0"/>
        <v>5400</v>
      </c>
      <c r="H10">
        <f t="shared" si="1"/>
        <v>67</v>
      </c>
      <c r="I10" t="str">
        <f t="shared" si="2"/>
        <v>instock</v>
      </c>
    </row>
    <row r="11" spans="1:9" x14ac:dyDescent="0.35">
      <c r="A11" t="s">
        <v>27</v>
      </c>
      <c r="B11" t="s">
        <v>41</v>
      </c>
      <c r="C11" t="s">
        <v>20</v>
      </c>
      <c r="D11">
        <v>100</v>
      </c>
      <c r="E11">
        <v>130</v>
      </c>
      <c r="F11">
        <v>90</v>
      </c>
      <c r="G11">
        <f t="shared" si="0"/>
        <v>11700</v>
      </c>
      <c r="H11">
        <f t="shared" si="1"/>
        <v>10</v>
      </c>
      <c r="I11" t="str">
        <f t="shared" si="2"/>
        <v>restock soon</v>
      </c>
    </row>
    <row r="12" spans="1:9" x14ac:dyDescent="0.35">
      <c r="A12" t="s">
        <v>28</v>
      </c>
      <c r="B12" t="s">
        <v>42</v>
      </c>
      <c r="C12" t="s">
        <v>20</v>
      </c>
      <c r="D12">
        <v>1200</v>
      </c>
      <c r="E12">
        <v>1555</v>
      </c>
      <c r="F12">
        <v>12</v>
      </c>
      <c r="G12">
        <f t="shared" si="0"/>
        <v>18660</v>
      </c>
      <c r="H12">
        <f t="shared" si="1"/>
        <v>1188</v>
      </c>
      <c r="I12" t="str">
        <f t="shared" si="2"/>
        <v>instock</v>
      </c>
    </row>
    <row r="13" spans="1:9" x14ac:dyDescent="0.35">
      <c r="A13" t="s">
        <v>29</v>
      </c>
      <c r="B13" t="s">
        <v>43</v>
      </c>
      <c r="C13" t="s">
        <v>17</v>
      </c>
      <c r="D13">
        <v>150</v>
      </c>
      <c r="E13">
        <v>1456</v>
      </c>
      <c r="F13">
        <v>34</v>
      </c>
      <c r="G13">
        <f t="shared" si="0"/>
        <v>49504</v>
      </c>
      <c r="H13">
        <f t="shared" si="1"/>
        <v>116</v>
      </c>
      <c r="I13" t="str">
        <f t="shared" si="2"/>
        <v>instock</v>
      </c>
    </row>
    <row r="14" spans="1:9" x14ac:dyDescent="0.35">
      <c r="A14" t="s">
        <v>30</v>
      </c>
      <c r="B14" t="s">
        <v>46</v>
      </c>
      <c r="C14" t="s">
        <v>17</v>
      </c>
      <c r="D14">
        <v>250</v>
      </c>
      <c r="E14">
        <v>1790</v>
      </c>
      <c r="F14">
        <v>40</v>
      </c>
      <c r="G14">
        <f t="shared" si="0"/>
        <v>71600</v>
      </c>
      <c r="H14">
        <f t="shared" si="1"/>
        <v>210</v>
      </c>
      <c r="I14" t="str">
        <f t="shared" si="2"/>
        <v>instock</v>
      </c>
    </row>
    <row r="15" spans="1:9" x14ac:dyDescent="0.35">
      <c r="A15" t="s">
        <v>31</v>
      </c>
      <c r="B15" t="s">
        <v>44</v>
      </c>
      <c r="C15" t="s">
        <v>17</v>
      </c>
      <c r="D15">
        <v>150</v>
      </c>
      <c r="E15">
        <v>3000</v>
      </c>
      <c r="F15">
        <v>23</v>
      </c>
      <c r="G15">
        <f t="shared" si="0"/>
        <v>69000</v>
      </c>
      <c r="H15">
        <f t="shared" si="1"/>
        <v>127</v>
      </c>
      <c r="I15" t="str">
        <f t="shared" si="2"/>
        <v>instock</v>
      </c>
    </row>
    <row r="16" spans="1:9" x14ac:dyDescent="0.35">
      <c r="A16" t="s">
        <v>32</v>
      </c>
      <c r="B16" t="s">
        <v>45</v>
      </c>
      <c r="C16" t="s">
        <v>17</v>
      </c>
      <c r="D16">
        <v>190</v>
      </c>
      <c r="E16">
        <v>400</v>
      </c>
      <c r="F16">
        <v>12</v>
      </c>
      <c r="G16">
        <f t="shared" si="0"/>
        <v>4800</v>
      </c>
      <c r="H16">
        <f t="shared" si="1"/>
        <v>178</v>
      </c>
      <c r="I16" t="str">
        <f t="shared" si="2"/>
        <v>instock</v>
      </c>
    </row>
    <row r="17" spans="1:9" x14ac:dyDescent="0.35">
      <c r="A17" t="s">
        <v>33</v>
      </c>
      <c r="B17" t="s">
        <v>46</v>
      </c>
      <c r="C17" t="s">
        <v>17</v>
      </c>
      <c r="D17">
        <v>210</v>
      </c>
      <c r="E17">
        <v>1680</v>
      </c>
      <c r="F17">
        <v>34</v>
      </c>
      <c r="G17">
        <f t="shared" si="0"/>
        <v>57120</v>
      </c>
      <c r="H17">
        <f t="shared" si="1"/>
        <v>176</v>
      </c>
      <c r="I17" t="str">
        <f t="shared" si="2"/>
        <v>instock</v>
      </c>
    </row>
    <row r="18" spans="1:9" x14ac:dyDescent="0.35">
      <c r="A18" t="s">
        <v>34</v>
      </c>
      <c r="B18" t="s">
        <v>47</v>
      </c>
      <c r="C18" t="s">
        <v>17</v>
      </c>
      <c r="D18">
        <v>235</v>
      </c>
      <c r="E18">
        <v>50</v>
      </c>
      <c r="F18">
        <v>24</v>
      </c>
      <c r="G18">
        <f t="shared" si="0"/>
        <v>1200</v>
      </c>
      <c r="H18">
        <f t="shared" si="1"/>
        <v>211</v>
      </c>
      <c r="I18" t="str">
        <f t="shared" si="2"/>
        <v>instock</v>
      </c>
    </row>
    <row r="19" spans="1:9" x14ac:dyDescent="0.35">
      <c r="A19" t="s">
        <v>35</v>
      </c>
      <c r="B19" t="s">
        <v>47</v>
      </c>
      <c r="C19" t="s">
        <v>17</v>
      </c>
      <c r="D19">
        <v>213</v>
      </c>
      <c r="E19">
        <v>50</v>
      </c>
      <c r="F19">
        <v>34</v>
      </c>
      <c r="G19">
        <f t="shared" si="0"/>
        <v>1700</v>
      </c>
      <c r="H19">
        <f t="shared" si="1"/>
        <v>179</v>
      </c>
      <c r="I19" t="str">
        <f t="shared" si="2"/>
        <v>instock</v>
      </c>
    </row>
    <row r="20" spans="1:9" x14ac:dyDescent="0.35">
      <c r="A20" t="s">
        <v>36</v>
      </c>
      <c r="B20" t="s">
        <v>12</v>
      </c>
      <c r="C20" t="s">
        <v>17</v>
      </c>
      <c r="D20">
        <v>342</v>
      </c>
      <c r="E20">
        <v>30</v>
      </c>
      <c r="F20">
        <v>23</v>
      </c>
      <c r="G20">
        <f t="shared" si="0"/>
        <v>690</v>
      </c>
      <c r="H20">
        <f t="shared" si="1"/>
        <v>319</v>
      </c>
      <c r="I20" t="str">
        <f t="shared" si="2"/>
        <v>instock</v>
      </c>
    </row>
  </sheetData>
  <conditionalFormatting sqref="G2:G20">
    <cfRule type="cellIs" dxfId="3" priority="1" operator="greaterThan">
      <formula>10000</formula>
    </cfRule>
    <cfRule type="cellIs" dxfId="2" priority="2" operator="greaterThan">
      <formula>10000</formula>
    </cfRule>
  </conditionalFormatting>
  <conditionalFormatting sqref="H2:H20">
    <cfRule type="cellIs" dxfId="1" priority="3" operator="lessThan">
      <formula>50</formula>
    </cfRule>
    <cfRule type="cellIs" dxfId="0" priority="4" operator="lessThan"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Mutegi Mbae</dc:creator>
  <cp:lastModifiedBy>Ben Carson</cp:lastModifiedBy>
  <dcterms:created xsi:type="dcterms:W3CDTF">2025-10-25T05:00:11Z</dcterms:created>
  <dcterms:modified xsi:type="dcterms:W3CDTF">2025-11-03T07:42:01Z</dcterms:modified>
</cp:coreProperties>
</file>