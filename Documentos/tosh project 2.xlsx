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5F6DDB0B53FC2E6/Documentos/"/>
    </mc:Choice>
  </mc:AlternateContent>
  <xr:revisionPtr revIDLastSave="253" documentId="8_{F18645AA-BE71-45B1-93C1-B11002E7E4ED}" xr6:coauthVersionLast="47" xr6:coauthVersionMax="47" xr10:uidLastSave="{DF8A0291-B9B4-4099-B812-FCD46831CA7B}"/>
  <bookViews>
    <workbookView xWindow="-110" yWindow="-110" windowWidth="19420" windowHeight="11500" xr2:uid="{3334F044-19B3-4747-99BD-168B338942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9" i="1" l="1"/>
  <c r="E40" i="1"/>
  <c r="E41" i="1"/>
  <c r="E42" i="1"/>
  <c r="E43" i="1"/>
  <c r="E44" i="1"/>
  <c r="E45" i="1"/>
  <c r="E46" i="1"/>
  <c r="E47" i="1"/>
  <c r="E48" i="1"/>
  <c r="E38" i="1"/>
  <c r="E30" i="1"/>
  <c r="E29" i="1"/>
  <c r="E31" i="1"/>
  <c r="E32" i="1"/>
  <c r="E33" i="1"/>
  <c r="E34" i="1"/>
  <c r="E28" i="1"/>
  <c r="H18" i="1"/>
  <c r="H19" i="1"/>
  <c r="H14" i="1"/>
  <c r="H15" i="1"/>
  <c r="H16" i="1"/>
  <c r="H17" i="1"/>
  <c r="H13" i="1"/>
</calcChain>
</file>

<file path=xl/sharedStrings.xml><?xml version="1.0" encoding="utf-8"?>
<sst xmlns="http://schemas.openxmlformats.org/spreadsheetml/2006/main" count="137" uniqueCount="77">
  <si>
    <t>Monday</t>
  </si>
  <si>
    <t>Tuesday</t>
  </si>
  <si>
    <t>Thursday</t>
  </si>
  <si>
    <t>Friday</t>
  </si>
  <si>
    <t>Wenesdsay</t>
  </si>
  <si>
    <t>Saturday</t>
  </si>
  <si>
    <t>Sunday</t>
  </si>
  <si>
    <t>(DAYS)</t>
  </si>
  <si>
    <t>(NOTES)</t>
  </si>
  <si>
    <t>(Hours Study)</t>
  </si>
  <si>
    <t>excel</t>
  </si>
  <si>
    <t>maths</t>
  </si>
  <si>
    <t>agriculture</t>
  </si>
  <si>
    <t>homescience</t>
  </si>
  <si>
    <t>visualstudio code</t>
  </si>
  <si>
    <t>english</t>
  </si>
  <si>
    <t>compostion</t>
  </si>
  <si>
    <t>(DYS)</t>
  </si>
  <si>
    <t>(MORNING)</t>
  </si>
  <si>
    <t>(AFTERNOON)</t>
  </si>
  <si>
    <t>(EVENING)</t>
  </si>
  <si>
    <t>Wenesday</t>
  </si>
  <si>
    <t>science</t>
  </si>
  <si>
    <t>P.H.E</t>
  </si>
  <si>
    <t>visual studio code</t>
  </si>
  <si>
    <t>composition</t>
  </si>
  <si>
    <t>Insha</t>
  </si>
  <si>
    <t>french</t>
  </si>
  <si>
    <t>kiswahili</t>
  </si>
  <si>
    <t>(MORNING HOURS)</t>
  </si>
  <si>
    <t>(AFTERNOON HOURS)</t>
  </si>
  <si>
    <t>(EVENING HOURS)</t>
  </si>
  <si>
    <t>(TOTAL HOURS STUDIED</t>
  </si>
  <si>
    <t>(NAME)</t>
  </si>
  <si>
    <t>(SUBJECT)</t>
  </si>
  <si>
    <t>(GRADE)</t>
  </si>
  <si>
    <t>(REMARKS)</t>
  </si>
  <si>
    <t>Alice</t>
  </si>
  <si>
    <t>Brian</t>
  </si>
  <si>
    <t>Carol</t>
  </si>
  <si>
    <t>David</t>
  </si>
  <si>
    <t>Emma</t>
  </si>
  <si>
    <t>Faith</t>
  </si>
  <si>
    <t>Gregory</t>
  </si>
  <si>
    <t>math</t>
  </si>
  <si>
    <t>homscience</t>
  </si>
  <si>
    <t>agricultre</t>
  </si>
  <si>
    <t>A</t>
  </si>
  <si>
    <t>B</t>
  </si>
  <si>
    <t>C</t>
  </si>
  <si>
    <t>D</t>
  </si>
  <si>
    <t>excelent</t>
  </si>
  <si>
    <t>good</t>
  </si>
  <si>
    <t>fair</t>
  </si>
  <si>
    <t>poor</t>
  </si>
  <si>
    <t>m</t>
  </si>
  <si>
    <t>(OVERALL RESULTS)</t>
  </si>
  <si>
    <t>brighton</t>
  </si>
  <si>
    <t>Eman</t>
  </si>
  <si>
    <t>Gabriella</t>
  </si>
  <si>
    <t>Evangeline</t>
  </si>
  <si>
    <t>Kalmin</t>
  </si>
  <si>
    <t>Marcus</t>
  </si>
  <si>
    <t>Jason</t>
  </si>
  <si>
    <t>Kimathi</t>
  </si>
  <si>
    <t>Joseph</t>
  </si>
  <si>
    <t>Maths</t>
  </si>
  <si>
    <t>Social Studies</t>
  </si>
  <si>
    <t>Agriculture</t>
  </si>
  <si>
    <t>French</t>
  </si>
  <si>
    <t>Excel</t>
  </si>
  <si>
    <t>Homscience</t>
  </si>
  <si>
    <t>Science</t>
  </si>
  <si>
    <t>Composition</t>
  </si>
  <si>
    <t>Kiswahili</t>
  </si>
  <si>
    <t>Visual Studio Code</t>
  </si>
  <si>
    <t xml:space="preserve"> nbgbbvcc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</si>
</sst>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1"/>
    <xf numFmtId="0" fontId="1" fillId="0" borderId="0" xfId="0" applyFont="1"/>
  </cellXfs>
  <cellStyles count="1">
    <cellStyle name="Normal" xfId="0" builtinId="0"/>
  </cellStyles>
  <dxfs count="186">
    <dxf>
      <font>
        <color rgb="FFFF0000"/>
      </font>
    </dxf>
    <dxf>
      <font>
        <color theme="9"/>
      </font>
    </dxf>
    <dxf>
      <font>
        <color theme="6"/>
      </font>
    </dxf>
    <dxf>
      <font>
        <color theme="9" tint="0.39994506668294322"/>
      </font>
    </dxf>
    <dxf>
      <font>
        <color rgb="FFFFFF00"/>
      </font>
    </dxf>
    <dxf>
      <font>
        <color theme="9" tint="0.39994506668294322"/>
      </font>
    </dxf>
    <dxf>
      <font>
        <color theme="6"/>
      </font>
    </dxf>
    <dxf>
      <font>
        <color theme="9"/>
      </font>
    </dxf>
    <dxf>
      <font>
        <color rgb="FFFF0000"/>
      </font>
    </dxf>
    <dxf>
      <font>
        <color theme="9"/>
      </font>
    </dxf>
    <dxf>
      <font>
        <color theme="6"/>
      </font>
    </dxf>
    <dxf>
      <font>
        <color theme="9" tint="0.39994506668294322"/>
      </font>
    </dxf>
    <dxf>
      <font>
        <color theme="6"/>
      </font>
    </dxf>
    <dxf>
      <font>
        <color theme="9" tint="0.39994506668294322"/>
      </font>
    </dxf>
    <dxf>
      <font>
        <color theme="9" tint="0.39994506668294322"/>
      </font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6" tint="0.39994506668294322"/>
      </font>
    </dxf>
    <dxf>
      <font>
        <b/>
        <i val="0"/>
        <color theme="4" tint="0.39994506668294322"/>
      </font>
    </dxf>
    <dxf>
      <font>
        <b/>
        <i val="0"/>
        <color theme="5"/>
      </font>
    </dxf>
    <dxf>
      <font>
        <color theme="8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rgb="FFFFC7CE"/>
        </patternFill>
      </fill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6" tint="0.39994506668294322"/>
      </font>
    </dxf>
    <dxf>
      <font>
        <b/>
        <i val="0"/>
        <color theme="4" tint="0.39994506668294322"/>
      </font>
    </dxf>
    <dxf>
      <font>
        <b/>
        <i val="0"/>
        <color theme="5"/>
      </font>
    </dxf>
    <dxf>
      <font>
        <color theme="8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rgb="FFFFC7CE"/>
        </patternFill>
      </fill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6" tint="0.39994506668294322"/>
      </font>
    </dxf>
    <dxf>
      <font>
        <b/>
        <i val="0"/>
        <color theme="4" tint="0.39994506668294322"/>
      </font>
    </dxf>
    <dxf>
      <font>
        <b/>
        <i val="0"/>
        <color theme="5"/>
      </font>
    </dxf>
    <dxf>
      <font>
        <color theme="8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rgb="FFFFC7CE"/>
        </patternFill>
      </fill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6" tint="0.39994506668294322"/>
      </font>
    </dxf>
    <dxf>
      <font>
        <b/>
        <i val="0"/>
        <color theme="4" tint="0.39994506668294322"/>
      </font>
    </dxf>
    <dxf>
      <font>
        <b/>
        <i val="0"/>
        <color theme="5"/>
      </font>
    </dxf>
    <dxf>
      <font>
        <color theme="8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rgb="FFFFC7CE"/>
        </patternFill>
      </fill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6" tint="0.39994506668294322"/>
      </font>
    </dxf>
    <dxf>
      <font>
        <b/>
        <i val="0"/>
        <color theme="4" tint="0.39994506668294322"/>
      </font>
    </dxf>
    <dxf>
      <font>
        <b/>
        <i val="0"/>
        <color theme="5"/>
      </font>
    </dxf>
    <dxf>
      <font>
        <color theme="8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rgb="FFFFC7CE"/>
        </patternFill>
      </fill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6" tint="0.39994506668294322"/>
      </font>
    </dxf>
    <dxf>
      <font>
        <b/>
        <i val="0"/>
        <color theme="4" tint="0.39994506668294322"/>
      </font>
    </dxf>
    <dxf>
      <font>
        <b/>
        <i val="0"/>
        <color theme="5"/>
      </font>
    </dxf>
    <dxf>
      <font>
        <color theme="8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rgb="FFFFC7CE"/>
        </patternFill>
      </fill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65B76-94DD-4C28-B1F6-36E84CE1099D}">
  <dimension ref="A2:H48"/>
  <sheetViews>
    <sheetView tabSelected="1" topLeftCell="A24" zoomScaleNormal="100" workbookViewId="0">
      <selection activeCell="F48" sqref="F48"/>
    </sheetView>
  </sheetViews>
  <sheetFormatPr defaultRowHeight="14.5" x14ac:dyDescent="0.35"/>
  <cols>
    <col min="1" max="1" width="10.08984375" bestFit="1" customWidth="1"/>
    <col min="2" max="2" width="15.90625" bestFit="1" customWidth="1"/>
    <col min="3" max="3" width="15.26953125" bestFit="1" customWidth="1"/>
    <col min="4" max="4" width="13.36328125" customWidth="1"/>
    <col min="5" max="5" width="18.6328125" bestFit="1" customWidth="1"/>
    <col min="6" max="6" width="19" bestFit="1" customWidth="1"/>
    <col min="7" max="7" width="15.90625" bestFit="1" customWidth="1"/>
    <col min="8" max="8" width="20.7265625" bestFit="1" customWidth="1"/>
  </cols>
  <sheetData>
    <row r="2" spans="1:8" x14ac:dyDescent="0.35">
      <c r="A2" t="s">
        <v>7</v>
      </c>
      <c r="B2" t="s">
        <v>8</v>
      </c>
      <c r="C2" t="s">
        <v>9</v>
      </c>
    </row>
    <row r="3" spans="1:8" x14ac:dyDescent="0.35">
      <c r="A3" t="s">
        <v>0</v>
      </c>
      <c r="B3" s="1" t="s">
        <v>10</v>
      </c>
      <c r="C3">
        <v>2</v>
      </c>
    </row>
    <row r="4" spans="1:8" x14ac:dyDescent="0.35">
      <c r="A4" t="s">
        <v>1</v>
      </c>
      <c r="B4" t="s">
        <v>11</v>
      </c>
      <c r="C4">
        <v>3</v>
      </c>
    </row>
    <row r="5" spans="1:8" x14ac:dyDescent="0.35">
      <c r="A5" t="s">
        <v>4</v>
      </c>
      <c r="B5" t="s">
        <v>12</v>
      </c>
      <c r="C5">
        <v>0.75</v>
      </c>
    </row>
    <row r="6" spans="1:8" x14ac:dyDescent="0.35">
      <c r="A6" t="s">
        <v>2</v>
      </c>
      <c r="B6" t="s">
        <v>13</v>
      </c>
      <c r="C6">
        <v>0.5</v>
      </c>
    </row>
    <row r="7" spans="1:8" x14ac:dyDescent="0.35">
      <c r="A7" t="s">
        <v>3</v>
      </c>
      <c r="B7" t="s">
        <v>14</v>
      </c>
      <c r="C7">
        <v>1</v>
      </c>
    </row>
    <row r="8" spans="1:8" x14ac:dyDescent="0.35">
      <c r="A8" t="s">
        <v>5</v>
      </c>
      <c r="B8" t="s">
        <v>15</v>
      </c>
      <c r="C8">
        <v>2</v>
      </c>
    </row>
    <row r="9" spans="1:8" x14ac:dyDescent="0.35">
      <c r="A9" t="s">
        <v>6</v>
      </c>
      <c r="B9" t="s">
        <v>16</v>
      </c>
      <c r="C9">
        <v>2.0499999999999998</v>
      </c>
    </row>
    <row r="12" spans="1:8" x14ac:dyDescent="0.35">
      <c r="A12" t="s">
        <v>17</v>
      </c>
      <c r="B12" t="s">
        <v>18</v>
      </c>
      <c r="C12" t="s">
        <v>19</v>
      </c>
      <c r="D12" t="s">
        <v>20</v>
      </c>
      <c r="E12" t="s">
        <v>29</v>
      </c>
      <c r="F12" t="s">
        <v>30</v>
      </c>
      <c r="G12" t="s">
        <v>31</v>
      </c>
      <c r="H12" t="s">
        <v>32</v>
      </c>
    </row>
    <row r="13" spans="1:8" x14ac:dyDescent="0.35">
      <c r="A13" t="s">
        <v>0</v>
      </c>
      <c r="B13" t="s">
        <v>10</v>
      </c>
      <c r="C13" t="s">
        <v>15</v>
      </c>
      <c r="D13" t="s">
        <v>22</v>
      </c>
      <c r="E13">
        <v>0.75</v>
      </c>
      <c r="F13">
        <v>0.67</v>
      </c>
      <c r="G13">
        <v>1.5</v>
      </c>
      <c r="H13">
        <f>SUM(E13:G13)</f>
        <v>2.92</v>
      </c>
    </row>
    <row r="14" spans="1:8" x14ac:dyDescent="0.35">
      <c r="A14" t="s">
        <v>1</v>
      </c>
      <c r="B14" t="s">
        <v>25</v>
      </c>
      <c r="C14" t="s">
        <v>24</v>
      </c>
      <c r="D14" t="s">
        <v>23</v>
      </c>
      <c r="E14">
        <v>1</v>
      </c>
      <c r="F14">
        <v>0.5</v>
      </c>
      <c r="G14">
        <v>5</v>
      </c>
      <c r="H14">
        <f t="shared" ref="H14:H19" si="0">SUM(E14:G14)</f>
        <v>6.5</v>
      </c>
    </row>
    <row r="15" spans="1:8" x14ac:dyDescent="0.35">
      <c r="A15" t="s">
        <v>21</v>
      </c>
      <c r="B15" t="s">
        <v>26</v>
      </c>
      <c r="C15" t="s">
        <v>12</v>
      </c>
      <c r="D15" t="s">
        <v>27</v>
      </c>
      <c r="E15">
        <v>2</v>
      </c>
      <c r="F15">
        <v>4</v>
      </c>
      <c r="G15">
        <v>2</v>
      </c>
      <c r="H15">
        <f t="shared" si="0"/>
        <v>8</v>
      </c>
    </row>
    <row r="16" spans="1:8" x14ac:dyDescent="0.35">
      <c r="A16" t="s">
        <v>2</v>
      </c>
      <c r="B16" t="s">
        <v>28</v>
      </c>
      <c r="C16" t="s">
        <v>11</v>
      </c>
      <c r="D16" t="s">
        <v>12</v>
      </c>
      <c r="E16">
        <v>3</v>
      </c>
      <c r="F16">
        <v>2</v>
      </c>
      <c r="G16">
        <v>3</v>
      </c>
      <c r="H16">
        <f t="shared" si="0"/>
        <v>8</v>
      </c>
    </row>
    <row r="17" spans="1:8" x14ac:dyDescent="0.35">
      <c r="A17" t="s">
        <v>3</v>
      </c>
      <c r="B17" t="s">
        <v>14</v>
      </c>
      <c r="C17" t="s">
        <v>15</v>
      </c>
      <c r="D17" t="s">
        <v>25</v>
      </c>
      <c r="E17">
        <v>4</v>
      </c>
      <c r="F17">
        <v>1.67</v>
      </c>
      <c r="G17">
        <v>1</v>
      </c>
      <c r="H17">
        <f t="shared" si="0"/>
        <v>6.67</v>
      </c>
    </row>
    <row r="18" spans="1:8" x14ac:dyDescent="0.35">
      <c r="A18" t="s">
        <v>5</v>
      </c>
      <c r="B18" t="s">
        <v>11</v>
      </c>
      <c r="C18" t="s">
        <v>15</v>
      </c>
      <c r="D18" t="s">
        <v>27</v>
      </c>
      <c r="E18">
        <v>2</v>
      </c>
      <c r="F18">
        <v>3</v>
      </c>
      <c r="G18">
        <v>1</v>
      </c>
      <c r="H18">
        <f t="shared" si="0"/>
        <v>6</v>
      </c>
    </row>
    <row r="19" spans="1:8" x14ac:dyDescent="0.35">
      <c r="A19" t="s">
        <v>6</v>
      </c>
      <c r="B19" t="s">
        <v>11</v>
      </c>
      <c r="C19" t="s">
        <v>11</v>
      </c>
      <c r="D19" t="s">
        <v>11</v>
      </c>
      <c r="E19">
        <v>3</v>
      </c>
      <c r="F19">
        <v>2</v>
      </c>
      <c r="G19">
        <v>4</v>
      </c>
      <c r="H19">
        <f t="shared" si="0"/>
        <v>9</v>
      </c>
    </row>
    <row r="22" spans="1:8" x14ac:dyDescent="0.35">
      <c r="D22" t="s">
        <v>55</v>
      </c>
    </row>
    <row r="27" spans="1:8" x14ac:dyDescent="0.35">
      <c r="A27" t="s">
        <v>33</v>
      </c>
      <c r="B27" t="s">
        <v>34</v>
      </c>
      <c r="C27" t="s">
        <v>35</v>
      </c>
      <c r="D27" t="s">
        <v>36</v>
      </c>
      <c r="E27" t="s">
        <v>56</v>
      </c>
    </row>
    <row r="28" spans="1:8" x14ac:dyDescent="0.35">
      <c r="A28" s="2" t="s">
        <v>37</v>
      </c>
      <c r="B28" t="s">
        <v>44</v>
      </c>
      <c r="C28" s="2" t="s">
        <v>47</v>
      </c>
      <c r="D28" t="s">
        <v>51</v>
      </c>
      <c r="E28" s="2" t="str">
        <f>IF(C28="A","outstanding",IF(C28="B","strong",IF(C28="C","average","need improvment")))</f>
        <v>outstanding</v>
      </c>
    </row>
    <row r="29" spans="1:8" x14ac:dyDescent="0.35">
      <c r="A29" t="s">
        <v>38</v>
      </c>
      <c r="B29" t="s">
        <v>22</v>
      </c>
      <c r="C29" t="s">
        <v>48</v>
      </c>
      <c r="D29" t="s">
        <v>52</v>
      </c>
      <c r="E29" t="str">
        <f t="shared" ref="E29:E34" si="1">IF(C29="A","outstanding",IF(C29="B","strong",IF(C29="C","average","need improvment")))</f>
        <v>strong</v>
      </c>
      <c r="G29" s="2"/>
    </row>
    <row r="30" spans="1:8" x14ac:dyDescent="0.35">
      <c r="A30" t="s">
        <v>39</v>
      </c>
      <c r="B30" t="s">
        <v>15</v>
      </c>
      <c r="C30" t="s">
        <v>49</v>
      </c>
      <c r="D30" t="s">
        <v>53</v>
      </c>
      <c r="E30" t="str">
        <f>IF(C30="A","outstanding",IF(C30="B","strong",IF(C30="C","average","need improvment")))</f>
        <v>average</v>
      </c>
    </row>
    <row r="31" spans="1:8" x14ac:dyDescent="0.35">
      <c r="A31" t="s">
        <v>40</v>
      </c>
      <c r="B31" t="s">
        <v>45</v>
      </c>
      <c r="C31" t="s">
        <v>50</v>
      </c>
      <c r="D31" t="s">
        <v>54</v>
      </c>
      <c r="E31" t="str">
        <f t="shared" si="1"/>
        <v>need improvment</v>
      </c>
    </row>
    <row r="32" spans="1:8" x14ac:dyDescent="0.35">
      <c r="A32" t="s">
        <v>41</v>
      </c>
      <c r="B32" t="s">
        <v>27</v>
      </c>
      <c r="C32" t="s">
        <v>47</v>
      </c>
      <c r="D32" t="s">
        <v>51</v>
      </c>
      <c r="E32" t="str">
        <f t="shared" si="1"/>
        <v>outstanding</v>
      </c>
    </row>
    <row r="33" spans="1:6" x14ac:dyDescent="0.35">
      <c r="A33" t="s">
        <v>42</v>
      </c>
      <c r="B33" t="s">
        <v>46</v>
      </c>
      <c r="C33" t="s">
        <v>49</v>
      </c>
      <c r="D33" t="s">
        <v>53</v>
      </c>
      <c r="E33" t="str">
        <f t="shared" si="1"/>
        <v>average</v>
      </c>
    </row>
    <row r="34" spans="1:6" x14ac:dyDescent="0.35">
      <c r="A34" t="s">
        <v>43</v>
      </c>
      <c r="B34" t="s">
        <v>10</v>
      </c>
      <c r="C34" t="s">
        <v>50</v>
      </c>
      <c r="D34" t="s">
        <v>54</v>
      </c>
      <c r="E34" t="str">
        <f t="shared" si="1"/>
        <v>need improvment</v>
      </c>
    </row>
    <row r="37" spans="1:6" x14ac:dyDescent="0.35">
      <c r="A37" t="s">
        <v>33</v>
      </c>
      <c r="B37" t="s">
        <v>34</v>
      </c>
      <c r="C37" t="s">
        <v>35</v>
      </c>
      <c r="D37" t="s">
        <v>36</v>
      </c>
      <c r="E37" t="s">
        <v>56</v>
      </c>
    </row>
    <row r="38" spans="1:6" x14ac:dyDescent="0.35">
      <c r="A38" t="s">
        <v>37</v>
      </c>
      <c r="B38" t="s">
        <v>66</v>
      </c>
      <c r="C38" t="s">
        <v>47</v>
      </c>
      <c r="D38" t="s">
        <v>51</v>
      </c>
      <c r="E38" t="str">
        <f>IF(C38="A","outstanding",IF(C38="B","strong",IF(C38="C","average","need imrovement")))</f>
        <v>outstanding</v>
      </c>
    </row>
    <row r="39" spans="1:6" x14ac:dyDescent="0.35">
      <c r="A39" t="s">
        <v>57</v>
      </c>
      <c r="B39" t="s">
        <v>67</v>
      </c>
      <c r="C39" t="s">
        <v>48</v>
      </c>
      <c r="D39" t="s">
        <v>52</v>
      </c>
      <c r="E39" t="str">
        <f t="shared" ref="E39:E48" si="2">IF(C39="A","outstanding",IF(C39="B","strong",IF(C39="C","average","need imrovement")))</f>
        <v>strong</v>
      </c>
    </row>
    <row r="40" spans="1:6" x14ac:dyDescent="0.35">
      <c r="A40" t="s">
        <v>58</v>
      </c>
      <c r="B40" t="s">
        <v>68</v>
      </c>
      <c r="C40" t="s">
        <v>49</v>
      </c>
      <c r="D40" t="s">
        <v>53</v>
      </c>
      <c r="E40" t="str">
        <f t="shared" si="2"/>
        <v>average</v>
      </c>
    </row>
    <row r="41" spans="1:6" x14ac:dyDescent="0.35">
      <c r="A41" t="s">
        <v>65</v>
      </c>
      <c r="B41" t="s">
        <v>69</v>
      </c>
      <c r="C41" t="s">
        <v>50</v>
      </c>
      <c r="D41" t="s">
        <v>54</v>
      </c>
      <c r="E41" t="str">
        <f t="shared" si="2"/>
        <v>need imrovement</v>
      </c>
    </row>
    <row r="42" spans="1:6" x14ac:dyDescent="0.35">
      <c r="A42" t="s">
        <v>59</v>
      </c>
      <c r="B42" t="s">
        <v>70</v>
      </c>
      <c r="C42" t="s">
        <v>50</v>
      </c>
      <c r="D42" t="s">
        <v>54</v>
      </c>
      <c r="E42" t="str">
        <f t="shared" si="2"/>
        <v>need imrovement</v>
      </c>
    </row>
    <row r="43" spans="1:6" x14ac:dyDescent="0.35">
      <c r="A43" t="s">
        <v>60</v>
      </c>
      <c r="B43" t="s">
        <v>71</v>
      </c>
      <c r="C43" t="s">
        <v>47</v>
      </c>
      <c r="D43" t="s">
        <v>51</v>
      </c>
      <c r="E43" t="str">
        <f t="shared" si="2"/>
        <v>outstanding</v>
      </c>
    </row>
    <row r="44" spans="1:6" x14ac:dyDescent="0.35">
      <c r="A44" t="s">
        <v>61</v>
      </c>
      <c r="B44" t="s">
        <v>72</v>
      </c>
      <c r="C44" t="s">
        <v>48</v>
      </c>
      <c r="D44" t="s">
        <v>52</v>
      </c>
      <c r="E44" t="str">
        <f t="shared" si="2"/>
        <v>strong</v>
      </c>
    </row>
    <row r="45" spans="1:6" x14ac:dyDescent="0.35">
      <c r="A45" t="s">
        <v>62</v>
      </c>
      <c r="B45" t="s">
        <v>73</v>
      </c>
      <c r="C45" t="s">
        <v>49</v>
      </c>
      <c r="D45" t="s">
        <v>53</v>
      </c>
      <c r="E45" t="str">
        <f t="shared" si="2"/>
        <v>average</v>
      </c>
    </row>
    <row r="46" spans="1:6" x14ac:dyDescent="0.35">
      <c r="A46" t="s">
        <v>63</v>
      </c>
      <c r="B46" t="s">
        <v>26</v>
      </c>
      <c r="C46" t="s">
        <v>50</v>
      </c>
      <c r="D46" t="s">
        <v>54</v>
      </c>
      <c r="E46" t="str">
        <f t="shared" si="2"/>
        <v>need imrovement</v>
      </c>
    </row>
    <row r="47" spans="1:6" x14ac:dyDescent="0.35">
      <c r="A47" t="s">
        <v>42</v>
      </c>
      <c r="B47" t="s">
        <v>74</v>
      </c>
      <c r="C47" t="s">
        <v>47</v>
      </c>
      <c r="D47" t="s">
        <v>51</v>
      </c>
      <c r="E47" t="str">
        <f t="shared" si="2"/>
        <v>outstanding</v>
      </c>
    </row>
    <row r="48" spans="1:6" x14ac:dyDescent="0.35">
      <c r="A48" t="s">
        <v>64</v>
      </c>
      <c r="B48" t="s">
        <v>75</v>
      </c>
      <c r="C48" t="s">
        <v>47</v>
      </c>
      <c r="D48" t="s">
        <v>51</v>
      </c>
      <c r="E48" t="str">
        <f t="shared" si="2"/>
        <v>outstanding</v>
      </c>
      <c r="F48" t="s">
        <v>76</v>
      </c>
    </row>
  </sheetData>
  <conditionalFormatting sqref="C3:C9">
    <cfRule type="cellIs" dxfId="75" priority="42" operator="lessThan">
      <formula>2</formula>
    </cfRule>
  </conditionalFormatting>
  <conditionalFormatting sqref="C28">
    <cfRule type="cellIs" dxfId="74" priority="33" operator="greaterThan">
      <formula>"if celll is d and below"</formula>
    </cfRule>
    <cfRule type="cellIs" dxfId="73" priority="35" operator="greaterThan">
      <formula>"if grade is d and below fill with red cell"</formula>
    </cfRule>
  </conditionalFormatting>
  <conditionalFormatting sqref="C28:C34 C37:C48">
    <cfRule type="containsText" dxfId="72" priority="30" operator="containsText" text="A">
      <formula>NOT(ISERROR(SEARCH("A",C28)))</formula>
    </cfRule>
  </conditionalFormatting>
  <conditionalFormatting sqref="C28:C35 C37:C48">
    <cfRule type="colorScale" priority="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9">
    <cfRule type="containsText" dxfId="71" priority="21" operator="containsText" text="B">
      <formula>NOT(ISERROR(SEARCH("B",C29)))</formula>
    </cfRule>
    <cfRule type="containsText" dxfId="70" priority="22" operator="containsText" text="B">
      <formula>NOT(ISERROR(SEARCH("B",C29)))</formula>
    </cfRule>
    <cfRule type="containsText" dxfId="69" priority="23" operator="containsText" text="B">
      <formula>NOT(ISERROR(SEARCH("B",C29)))</formula>
    </cfRule>
    <cfRule type="containsText" dxfId="68" priority="24" operator="containsText" text="B">
      <formula>NOT(ISERROR(SEARCH("B",C29)))</formula>
    </cfRule>
    <cfRule type="containsText" dxfId="67" priority="26" operator="containsText" text="B">
      <formula>NOT(ISERROR(SEARCH("B",C29)))</formula>
    </cfRule>
    <cfRule type="containsText" dxfId="66" priority="27" operator="containsText" text="B">
      <formula>NOT(ISERROR(SEARCH("B",C29)))</formula>
    </cfRule>
  </conditionalFormatting>
  <conditionalFormatting sqref="C29:C34 C37:C48">
    <cfRule type="containsText" dxfId="65" priority="31" operator="containsText" text="A">
      <formula>NOT(ISERROR(SEARCH("A",C29)))</formula>
    </cfRule>
  </conditionalFormatting>
  <conditionalFormatting sqref="C30">
    <cfRule type="containsText" dxfId="64" priority="20" operator="containsText" text="C">
      <formula>NOT(ISERROR(SEARCH("C",C30)))</formula>
    </cfRule>
    <cfRule type="containsText" dxfId="63" priority="28" operator="containsText" text="C">
      <formula>NOT(ISERROR(SEARCH("C",C30)))</formula>
    </cfRule>
  </conditionalFormatting>
  <conditionalFormatting sqref="C31">
    <cfRule type="containsText" dxfId="62" priority="19" operator="containsText" text="D">
      <formula>NOT(ISERROR(SEARCH("D",C31)))</formula>
    </cfRule>
    <cfRule type="containsText" dxfId="61" priority="25" operator="containsText" text="D">
      <formula>NOT(ISERROR(SEARCH("D",C31)))</formula>
    </cfRule>
  </conditionalFormatting>
  <conditionalFormatting sqref="C33">
    <cfRule type="containsText" dxfId="60" priority="18" operator="containsText" text="C">
      <formula>NOT(ISERROR(SEARCH("C",C33)))</formula>
    </cfRule>
  </conditionalFormatting>
  <conditionalFormatting sqref="C34 C37:C48">
    <cfRule type="containsText" dxfId="59" priority="16" operator="containsText" text="D">
      <formula>NOT(ISERROR(SEARCH("D",C34)))</formula>
    </cfRule>
    <cfRule type="containsText" dxfId="58" priority="17" operator="containsText" text="D">
      <formula>NOT(ISERROR(SEARCH("D",C34)))</formula>
    </cfRule>
  </conditionalFormatting>
  <conditionalFormatting sqref="D28:D34 D37:E37">
    <cfRule type="containsText" dxfId="57" priority="11" operator="containsText" text="poor">
      <formula>NOT(ISERROR(SEARCH("poor",D28)))</formula>
    </cfRule>
    <cfRule type="containsText" dxfId="56" priority="12" operator="containsText" text="good">
      <formula>NOT(ISERROR(SEARCH("good",D28)))</formula>
    </cfRule>
    <cfRule type="containsText" dxfId="55" priority="13" operator="containsText" text="fair">
      <formula>NOT(ISERROR(SEARCH("fair",D28)))</formula>
    </cfRule>
    <cfRule type="containsText" dxfId="54" priority="14" operator="containsText" text="excelent">
      <formula>NOT(ISERROR(SEARCH("excelent",D28)))</formula>
    </cfRule>
  </conditionalFormatting>
  <conditionalFormatting sqref="H12:H19">
    <cfRule type="cellIs" dxfId="53" priority="38" operator="lessThan">
      <formula>2</formula>
    </cfRule>
  </conditionalFormatting>
  <conditionalFormatting sqref="H13:H19">
    <cfRule type="cellIs" dxfId="52" priority="36" operator="lessThan">
      <formula>6.2</formula>
    </cfRule>
    <cfRule type="cellIs" dxfId="51" priority="37" operator="lessThan">
      <formula>5.96</formula>
    </cfRule>
  </conditionalFormatting>
  <conditionalFormatting sqref="H24">
    <cfRule type="cellIs" dxfId="50" priority="41" operator="lessThan">
      <formula>2</formula>
    </cfRule>
  </conditionalFormatting>
  <conditionalFormatting sqref="C38:C48">
    <cfRule type="containsText" dxfId="15" priority="10" operator="containsText" text="B">
      <formula>NOT(ISERROR(SEARCH("B",C38)))</formula>
    </cfRule>
    <cfRule type="containsText" dxfId="16" priority="9" operator="containsText" text="A">
      <formula>NOT(ISERROR(SEARCH("A",C38)))</formula>
    </cfRule>
    <cfRule type="containsText" dxfId="17" priority="8" operator="containsText" text="C">
      <formula>NOT(ISERROR(SEARCH("C",C38)))</formula>
    </cfRule>
    <cfRule type="containsText" dxfId="18" priority="7" operator="containsText" text="C">
      <formula>NOT(ISERROR(SEARCH("C",C38)))</formula>
    </cfRule>
    <cfRule type="containsText" dxfId="19" priority="6" operator="containsText" text="A">
      <formula>NOT(ISERROR(SEARCH("A",C38)))</formula>
    </cfRule>
  </conditionalFormatting>
  <conditionalFormatting sqref="D38:D48">
    <cfRule type="containsText" dxfId="5" priority="5" operator="containsText" text="A">
      <formula>NOT(ISERROR(SEARCH("A",D38)))</formula>
    </cfRule>
    <cfRule type="containsText" dxfId="6" priority="4" operator="containsText" text="excelent">
      <formula>NOT(ISERROR(SEARCH("excelent",D38)))</formula>
    </cfRule>
    <cfRule type="containsText" dxfId="7" priority="3" operator="containsText" text="excelent">
      <formula>NOT(ISERROR(SEARCH("excelent",D38)))</formula>
    </cfRule>
    <cfRule type="containsText" dxfId="8" priority="2" operator="containsText" text="poor">
      <formula>NOT(ISERROR(SEARCH("poor",D38)))</formula>
    </cfRule>
    <cfRule type="containsText" dxfId="4" priority="1" operator="containsText" text="good">
      <formula>NOT(ISERROR(SEARCH("good",D38)))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Carson</dc:creator>
  <cp:lastModifiedBy>Ben Carson</cp:lastModifiedBy>
  <dcterms:created xsi:type="dcterms:W3CDTF">2025-10-27T06:37:41Z</dcterms:created>
  <dcterms:modified xsi:type="dcterms:W3CDTF">2025-10-31T06:25:58Z</dcterms:modified>
</cp:coreProperties>
</file>