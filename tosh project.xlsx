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f6ddb0b53fc2e6/Documentos/"/>
    </mc:Choice>
  </mc:AlternateContent>
  <xr:revisionPtr revIDLastSave="419" documentId="8_{30D13C17-4516-4FFA-8E28-BF4FDAE4AA8F}" xr6:coauthVersionLast="47" xr6:coauthVersionMax="47" xr10:uidLastSave="{48D5CCBF-D94B-4B15-9C60-0D777194DEAD}"/>
  <bookViews>
    <workbookView xWindow="-110" yWindow="-110" windowWidth="19420" windowHeight="11500" xr2:uid="{222BBDBE-5971-47E3-B961-FF571193D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47" i="1"/>
  <c r="B48" i="1"/>
  <c r="B47" i="1"/>
  <c r="N21" i="1"/>
  <c r="M22" i="1"/>
  <c r="K19" i="1"/>
  <c r="L19" i="1"/>
  <c r="M19" i="1"/>
  <c r="K18" i="1"/>
  <c r="L18" i="1"/>
  <c r="M18" i="1" s="1"/>
  <c r="K17" i="1"/>
  <c r="L17" i="1"/>
  <c r="M17" i="1" s="1"/>
  <c r="K16" i="1"/>
  <c r="L16" i="1"/>
  <c r="M16" i="1" s="1"/>
  <c r="K15" i="1"/>
  <c r="L15" i="1"/>
  <c r="M15" i="1"/>
  <c r="K14" i="1"/>
  <c r="L14" i="1"/>
  <c r="M14" i="1"/>
  <c r="K13" i="1"/>
  <c r="L13" i="1"/>
  <c r="M13" i="1" s="1"/>
  <c r="K12" i="1"/>
  <c r="L12" i="1"/>
  <c r="M12" i="1"/>
  <c r="K11" i="1"/>
  <c r="L11" i="1"/>
  <c r="M11" i="1" s="1"/>
  <c r="M3" i="1"/>
  <c r="M4" i="1"/>
  <c r="M5" i="1"/>
  <c r="M6" i="1"/>
  <c r="M7" i="1"/>
  <c r="M8" i="1"/>
  <c r="M9" i="1"/>
  <c r="M10" i="1"/>
  <c r="M2" i="1"/>
  <c r="L3" i="1"/>
  <c r="L4" i="1"/>
  <c r="L5" i="1"/>
  <c r="L6" i="1"/>
  <c r="L7" i="1"/>
  <c r="L8" i="1"/>
  <c r="L9" i="1"/>
  <c r="L10" i="1"/>
  <c r="L2" i="1"/>
  <c r="K3" i="1"/>
  <c r="K4" i="1"/>
  <c r="K5" i="1"/>
  <c r="K6" i="1"/>
  <c r="K7" i="1"/>
  <c r="K8" i="1"/>
  <c r="K9" i="1"/>
  <c r="K10" i="1"/>
  <c r="K2" i="1"/>
</calcChain>
</file>

<file path=xl/sharedStrings.xml><?xml version="1.0" encoding="utf-8"?>
<sst xmlns="http://schemas.openxmlformats.org/spreadsheetml/2006/main" count="46" uniqueCount="44">
  <si>
    <t>(STUDENT)</t>
  </si>
  <si>
    <t>JOSEPH</t>
  </si>
  <si>
    <t>EMAN</t>
  </si>
  <si>
    <t>MARY</t>
  </si>
  <si>
    <t>KIMATHI</t>
  </si>
  <si>
    <t>MRRIAM</t>
  </si>
  <si>
    <t>TOSH</t>
  </si>
  <si>
    <t>ANN NJOKI</t>
  </si>
  <si>
    <t>FRANCIS</t>
  </si>
  <si>
    <t>GABRIELLA</t>
  </si>
  <si>
    <t>Maths</t>
  </si>
  <si>
    <t>English</t>
  </si>
  <si>
    <t>Compostition</t>
  </si>
  <si>
    <t>Kiswahili</t>
  </si>
  <si>
    <t>Insha</t>
  </si>
  <si>
    <t>science</t>
  </si>
  <si>
    <t>copmuter studies</t>
  </si>
  <si>
    <t>homescience</t>
  </si>
  <si>
    <t>Social  Studies</t>
  </si>
  <si>
    <t>(TOTAL)</t>
  </si>
  <si>
    <t>(AVRAGE)</t>
  </si>
  <si>
    <t>(RESULT)</t>
  </si>
  <si>
    <t>MBAPPE</t>
  </si>
  <si>
    <t>PELE</t>
  </si>
  <si>
    <t>WANGECHI</t>
  </si>
  <si>
    <t>ANORLD</t>
  </si>
  <si>
    <t>VIVIAN</t>
  </si>
  <si>
    <t>PETER</t>
  </si>
  <si>
    <t>ALEX</t>
  </si>
  <si>
    <t>JASON</t>
  </si>
  <si>
    <t>ALFRED</t>
  </si>
  <si>
    <t>(NO OF STDENTS  FAILED)</t>
  </si>
  <si>
    <t>(NO OF  STDENTS PASSED)</t>
  </si>
  <si>
    <t>Tuesday</t>
  </si>
  <si>
    <t>Thursday</t>
  </si>
  <si>
    <t>Friday</t>
  </si>
  <si>
    <t>Monday</t>
  </si>
  <si>
    <t>Saturday</t>
  </si>
  <si>
    <t>Sunday</t>
  </si>
  <si>
    <t>Wensday</t>
  </si>
  <si>
    <t>(AMOUNT SPENT$)</t>
  </si>
  <si>
    <t>(AMOUNT SAVED)</t>
  </si>
  <si>
    <t>(SAMMY WEEKLY MONEY TRACKER)</t>
  </si>
  <si>
    <t>the avrage of sammy spendings are around 340 (339 for this particular week)and his avrage savins are around 400(377 for the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</si>
</sst>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END TERM EXAMS 2025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Sheet1!$A$2:$A$19</c:f>
              <c:strCache>
                <c:ptCount val="18"/>
                <c:pt idx="0">
                  <c:v>GABRIELLA</c:v>
                </c:pt>
                <c:pt idx="1">
                  <c:v>JOSEPH</c:v>
                </c:pt>
                <c:pt idx="2">
                  <c:v>EMAN</c:v>
                </c:pt>
                <c:pt idx="3">
                  <c:v>MARY</c:v>
                </c:pt>
                <c:pt idx="4">
                  <c:v>KIMATHI</c:v>
                </c:pt>
                <c:pt idx="5">
                  <c:v>MRRIAM</c:v>
                </c:pt>
                <c:pt idx="6">
                  <c:v>TOSH</c:v>
                </c:pt>
                <c:pt idx="7">
                  <c:v>ANN NJOKI</c:v>
                </c:pt>
                <c:pt idx="8">
                  <c:v>FRANCIS</c:v>
                </c:pt>
                <c:pt idx="9">
                  <c:v>MBAPPE</c:v>
                </c:pt>
                <c:pt idx="10">
                  <c:v>PELE</c:v>
                </c:pt>
                <c:pt idx="11">
                  <c:v>WANGECHI</c:v>
                </c:pt>
                <c:pt idx="12">
                  <c:v>ANORLD</c:v>
                </c:pt>
                <c:pt idx="13">
                  <c:v>VIVIAN</c:v>
                </c:pt>
                <c:pt idx="14">
                  <c:v>PETER</c:v>
                </c:pt>
                <c:pt idx="15">
                  <c:v>ALEX</c:v>
                </c:pt>
                <c:pt idx="16">
                  <c:v>JASON</c:v>
                </c:pt>
                <c:pt idx="17">
                  <c:v>ALFRED</c:v>
                </c:pt>
              </c:strCache>
            </c:strRef>
          </c:cat>
          <c:val>
            <c:numRef>
              <c:f>Sheet1!$L$2:$L$19</c:f>
              <c:numCache>
                <c:formatCode>General</c:formatCode>
                <c:ptCount val="18"/>
                <c:pt idx="0">
                  <c:v>24.666666666666668</c:v>
                </c:pt>
                <c:pt idx="1">
                  <c:v>24.555555555555557</c:v>
                </c:pt>
                <c:pt idx="2">
                  <c:v>24.444444444444443</c:v>
                </c:pt>
                <c:pt idx="3">
                  <c:v>24.111111111111111</c:v>
                </c:pt>
                <c:pt idx="4">
                  <c:v>26</c:v>
                </c:pt>
                <c:pt idx="5">
                  <c:v>25.222222222222221</c:v>
                </c:pt>
                <c:pt idx="6">
                  <c:v>25.111111111111111</c:v>
                </c:pt>
                <c:pt idx="7">
                  <c:v>22</c:v>
                </c:pt>
                <c:pt idx="8">
                  <c:v>21.111111111111111</c:v>
                </c:pt>
                <c:pt idx="9">
                  <c:v>21.555555555555557</c:v>
                </c:pt>
                <c:pt idx="10">
                  <c:v>24.444444444444443</c:v>
                </c:pt>
                <c:pt idx="11">
                  <c:v>24.444444444444443</c:v>
                </c:pt>
                <c:pt idx="12">
                  <c:v>24.777777777777779</c:v>
                </c:pt>
                <c:pt idx="13">
                  <c:v>22.888888888888889</c:v>
                </c:pt>
                <c:pt idx="14">
                  <c:v>24</c:v>
                </c:pt>
                <c:pt idx="15">
                  <c:v>22.888888888888889</c:v>
                </c:pt>
                <c:pt idx="16">
                  <c:v>23.888888888888889</c:v>
                </c:pt>
                <c:pt idx="17">
                  <c:v>22.888888888888889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D-420E-B70D-A1CC1CABF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884832"/>
        <c:axId val="1410881472"/>
      </c:barChart>
      <c:catAx>
        <c:axId val="141088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10881472"/>
        <c:crosses val="autoZero"/>
        <c:auto val="1"/>
        <c:lblAlgn val="ctr"/>
        <c:lblOffset val="100"/>
        <c:noMultiLvlLbl val="0"/>
      </c:catAx>
      <c:valAx>
        <c:axId val="1410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1088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0.10969203849518812"/>
          <c:y val="0.17634259259259263"/>
          <c:w val="0.8903079615048119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Sheet1!$B$38</c:f>
              <c:strCache>
                <c:ptCount val="1"/>
                <c:pt idx="0">
                  <c:v>(AMOUNT SPENT$)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Sheet1!$B$39:$B$44</c:f>
              <c:numCache>
                <c:formatCode>General</c:formatCode>
                <c:ptCount val="6"/>
                <c:pt idx="0">
                  <c:v>35</c:v>
                </c:pt>
                <c:pt idx="1">
                  <c:v>34</c:v>
                </c:pt>
                <c:pt idx="2">
                  <c:v>190</c:v>
                </c:pt>
                <c:pt idx="3">
                  <c:v>12</c:v>
                </c:pt>
                <c:pt idx="4">
                  <c:v>20</c:v>
                </c:pt>
                <c:pt idx="5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1-4927-B304-B657A2178A7D}"/>
            </c:ext>
          </c:extLst>
        </c:ser>
        <c:ser>
          <c:idx val="1"/>
          <c:order val="1"/>
          <c:tx>
            <c:strRef>
              <c:f>Sheet1!$C$38</c:f>
              <c:strCache>
                <c:ptCount val="1"/>
                <c:pt idx="0">
                  <c:v>(AMOUNT SAVED)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Sheet1!$C$39:$C$44</c:f>
              <c:numCache>
                <c:formatCode>General</c:formatCode>
                <c:ptCount val="6"/>
                <c:pt idx="0">
                  <c:v>22</c:v>
                </c:pt>
                <c:pt idx="1">
                  <c:v>40</c:v>
                </c:pt>
                <c:pt idx="2">
                  <c:v>244</c:v>
                </c:pt>
                <c:pt idx="3">
                  <c:v>3</c:v>
                </c:pt>
                <c:pt idx="4">
                  <c:v>35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1-4927-B304-B657A2178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710575"/>
        <c:axId val="1384711055"/>
      </c:lineChart>
      <c:catAx>
        <c:axId val="138471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84711055"/>
        <c:crosses val="autoZero"/>
        <c:auto val="1"/>
        <c:lblAlgn val="ctr"/>
        <c:lblOffset val="100"/>
        <c:noMultiLvlLbl val="0"/>
      </c:catAx>
      <c:valAx>
        <c:axId val="13847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8471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amount</a:t>
            </a:r>
            <a:r>
              <a:rPr lang="en-GB" baseline="0"/>
              <a:t> spent and amount saved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Sheet1!$B$38</c:f>
              <c:strCache>
                <c:ptCount val="1"/>
                <c:pt idx="0">
                  <c:v>(AMOUNT SPENT$)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Sheet1!$B$39:$B$44</c:f>
              <c:numCache>
                <c:formatCode>General</c:formatCode>
                <c:ptCount val="6"/>
                <c:pt idx="0">
                  <c:v>35</c:v>
                </c:pt>
                <c:pt idx="1">
                  <c:v>34</c:v>
                </c:pt>
                <c:pt idx="2">
                  <c:v>190</c:v>
                </c:pt>
                <c:pt idx="3">
                  <c:v>12</c:v>
                </c:pt>
                <c:pt idx="4">
                  <c:v>20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E-4F4B-BC77-27AE49F59440}"/>
            </c:ext>
          </c:extLst>
        </c:ser>
        <c:ser>
          <c:idx val="1"/>
          <c:order val="1"/>
          <c:tx>
            <c:strRef>
              <c:f>Sheet1!$C$38</c:f>
              <c:strCache>
                <c:ptCount val="1"/>
                <c:pt idx="0">
                  <c:v>(AMOUNT SAVED)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Sheet1!$C$39:$C$44</c:f>
              <c:numCache>
                <c:formatCode>General</c:formatCode>
                <c:ptCount val="6"/>
                <c:pt idx="0">
                  <c:v>22</c:v>
                </c:pt>
                <c:pt idx="1">
                  <c:v>40</c:v>
                </c:pt>
                <c:pt idx="2">
                  <c:v>244</c:v>
                </c:pt>
                <c:pt idx="3">
                  <c:v>3</c:v>
                </c:pt>
                <c:pt idx="4">
                  <c:v>35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E-4F4B-BC77-27AE49F5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395743"/>
        <c:axId val="1379396223"/>
      </c:barChart>
      <c:catAx>
        <c:axId val="137939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79396223"/>
        <c:crosses val="autoZero"/>
        <c:auto val="1"/>
        <c:lblAlgn val="ctr"/>
        <c:lblOffset val="100"/>
        <c:noMultiLvlLbl val="0"/>
      </c:catAx>
      <c:valAx>
        <c:axId val="13793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7939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669925</xdr:colOff>
      <xdr:row>20</xdr:row>
      <xdr:rowOff>0</xdr:rowOff>
    </xdr:from>
    <xdr:to>
      <xdr:col>9</xdr:col>
      <xdr:colOff>663575</xdr:colOff>
      <xdr:row>34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06AE0-93FC-758F-4EB7-32BF773F6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1503385</xdr:colOff>
      <xdr:row>49</xdr:row>
      <xdr:rowOff>115453</xdr:rowOff>
    </xdr:from>
    <xdr:to>
      <xdr:col>6</xdr:col>
      <xdr:colOff>71749</xdr:colOff>
      <xdr:row>64</xdr:row>
      <xdr:rowOff>175819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FA5FFF-DC48-3D07-4545-70FB05C6C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222661</xdr:colOff>
      <xdr:row>49</xdr:row>
      <xdr:rowOff>156689</xdr:rowOff>
    </xdr:from>
    <xdr:to>
      <xdr:col>12</xdr:col>
      <xdr:colOff>104733</xdr:colOff>
      <xdr:row>65</xdr:row>
      <xdr:rowOff>2639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1FD26E-1C3E-FD00-1663-55EDCE240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AF68-D305-4CB0-8E53-76F59E0EA162}">
  <dimension ref="A1:N49"/>
  <sheetViews>
    <sheetView tabSelected="1" topLeftCell="A33" zoomScale="77" zoomScaleNormal="77" workbookViewId="0">
      <selection activeCell="O53" sqref="O53"/>
    </sheetView>
  </sheetViews>
  <sheetFormatPr defaultRowHeight="14.5" x14ac:dyDescent="0.35"/>
  <cols>
    <col min="1" max="1" width="26.6328125" customWidth="1"/>
    <col min="2" max="2" width="16.54296875" customWidth="1"/>
    <col min="3" max="3" width="14.453125" customWidth="1"/>
    <col min="4" max="4" width="11.7265625" bestFit="1" customWidth="1"/>
    <col min="6" max="6" width="7.90625" customWidth="1"/>
    <col min="8" max="8" width="14.453125" customWidth="1"/>
    <col min="9" max="9" width="14" customWidth="1"/>
    <col min="10" max="10" width="12.26953125" customWidth="1"/>
  </cols>
  <sheetData>
    <row r="1" spans="1:13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17</v>
      </c>
      <c r="K1" t="s">
        <v>19</v>
      </c>
      <c r="L1" t="s">
        <v>20</v>
      </c>
      <c r="M1" t="s">
        <v>21</v>
      </c>
    </row>
    <row r="2" spans="1:13" x14ac:dyDescent="0.35">
      <c r="A2" t="s">
        <v>9</v>
      </c>
      <c r="B2">
        <v>29</v>
      </c>
      <c r="C2">
        <v>27</v>
      </c>
      <c r="D2">
        <v>17</v>
      </c>
      <c r="E2">
        <v>26</v>
      </c>
      <c r="F2">
        <v>15</v>
      </c>
      <c r="G2">
        <v>29</v>
      </c>
      <c r="H2">
        <v>25</v>
      </c>
      <c r="I2">
        <v>30</v>
      </c>
      <c r="J2">
        <v>24</v>
      </c>
      <c r="K2">
        <f>SUM(B2:J2)</f>
        <v>222</v>
      </c>
      <c r="L2">
        <f>AVERAGE(B2:J2)</f>
        <v>24.666666666666668</v>
      </c>
      <c r="M2" t="str">
        <f>IF(L2&gt;=25,"pass ","fail")</f>
        <v>fail</v>
      </c>
    </row>
    <row r="3" spans="1:13" x14ac:dyDescent="0.35">
      <c r="A3" t="s">
        <v>1</v>
      </c>
      <c r="B3">
        <v>25</v>
      </c>
      <c r="C3">
        <v>23</v>
      </c>
      <c r="D3">
        <v>15</v>
      </c>
      <c r="E3">
        <v>27</v>
      </c>
      <c r="F3">
        <v>14</v>
      </c>
      <c r="G3">
        <v>30</v>
      </c>
      <c r="H3">
        <v>30</v>
      </c>
      <c r="I3">
        <v>30</v>
      </c>
      <c r="J3">
        <v>27</v>
      </c>
      <c r="K3">
        <f t="shared" ref="K3:K19" si="0">SUM(B3:J3)</f>
        <v>221</v>
      </c>
      <c r="L3">
        <f t="shared" ref="L3:L19" si="1">AVERAGE(B3:J3)</f>
        <v>24.555555555555557</v>
      </c>
      <c r="M3" t="str">
        <f t="shared" ref="M3:M19" si="2">IF(L3&gt;=25,"pass ","fail")</f>
        <v>fail</v>
      </c>
    </row>
    <row r="4" spans="1:13" x14ac:dyDescent="0.35">
      <c r="A4" t="s">
        <v>2</v>
      </c>
      <c r="B4">
        <v>28</v>
      </c>
      <c r="C4">
        <v>28</v>
      </c>
      <c r="D4">
        <v>13</v>
      </c>
      <c r="E4">
        <v>26</v>
      </c>
      <c r="F4">
        <v>13</v>
      </c>
      <c r="G4">
        <v>30</v>
      </c>
      <c r="H4">
        <v>27</v>
      </c>
      <c r="I4">
        <v>30</v>
      </c>
      <c r="J4">
        <v>25</v>
      </c>
      <c r="K4">
        <f t="shared" si="0"/>
        <v>220</v>
      </c>
      <c r="L4">
        <f t="shared" si="1"/>
        <v>24.444444444444443</v>
      </c>
      <c r="M4" t="str">
        <f t="shared" si="2"/>
        <v>fail</v>
      </c>
    </row>
    <row r="5" spans="1:13" x14ac:dyDescent="0.35">
      <c r="A5" t="s">
        <v>3</v>
      </c>
      <c r="B5">
        <v>27</v>
      </c>
      <c r="C5">
        <v>25</v>
      </c>
      <c r="D5">
        <v>14</v>
      </c>
      <c r="E5">
        <v>26</v>
      </c>
      <c r="F5">
        <v>17</v>
      </c>
      <c r="G5">
        <v>30</v>
      </c>
      <c r="H5">
        <v>25</v>
      </c>
      <c r="I5">
        <v>30</v>
      </c>
      <c r="J5">
        <v>23</v>
      </c>
      <c r="K5">
        <f t="shared" si="0"/>
        <v>217</v>
      </c>
      <c r="L5">
        <f t="shared" si="1"/>
        <v>24.111111111111111</v>
      </c>
      <c r="M5" t="str">
        <f t="shared" si="2"/>
        <v>fail</v>
      </c>
    </row>
    <row r="6" spans="1:13" x14ac:dyDescent="0.35">
      <c r="A6" t="s">
        <v>4</v>
      </c>
      <c r="B6">
        <v>30</v>
      </c>
      <c r="C6">
        <v>30</v>
      </c>
      <c r="D6">
        <v>19</v>
      </c>
      <c r="E6">
        <v>27</v>
      </c>
      <c r="F6">
        <v>17</v>
      </c>
      <c r="G6">
        <v>29</v>
      </c>
      <c r="H6">
        <v>26</v>
      </c>
      <c r="I6">
        <v>30</v>
      </c>
      <c r="J6">
        <v>26</v>
      </c>
      <c r="K6">
        <f t="shared" si="0"/>
        <v>234</v>
      </c>
      <c r="L6">
        <f t="shared" si="1"/>
        <v>26</v>
      </c>
      <c r="M6" t="str">
        <f t="shared" si="2"/>
        <v xml:space="preserve">pass </v>
      </c>
    </row>
    <row r="7" spans="1:13" x14ac:dyDescent="0.35">
      <c r="A7" t="s">
        <v>5</v>
      </c>
      <c r="B7">
        <v>28</v>
      </c>
      <c r="C7">
        <v>29</v>
      </c>
      <c r="D7">
        <v>14</v>
      </c>
      <c r="E7">
        <v>29</v>
      </c>
      <c r="F7">
        <v>14</v>
      </c>
      <c r="G7">
        <v>28</v>
      </c>
      <c r="H7">
        <v>27</v>
      </c>
      <c r="I7">
        <v>30</v>
      </c>
      <c r="J7">
        <v>28</v>
      </c>
      <c r="K7">
        <f t="shared" si="0"/>
        <v>227</v>
      </c>
      <c r="L7">
        <f t="shared" si="1"/>
        <v>25.222222222222221</v>
      </c>
      <c r="M7" t="str">
        <f t="shared" si="2"/>
        <v xml:space="preserve">pass </v>
      </c>
    </row>
    <row r="8" spans="1:13" x14ac:dyDescent="0.35">
      <c r="A8" t="s">
        <v>6</v>
      </c>
      <c r="B8">
        <v>29</v>
      </c>
      <c r="C8">
        <v>30</v>
      </c>
      <c r="D8">
        <v>20</v>
      </c>
      <c r="E8">
        <v>29</v>
      </c>
      <c r="F8">
        <v>12</v>
      </c>
      <c r="G8">
        <v>27</v>
      </c>
      <c r="H8">
        <v>23</v>
      </c>
      <c r="I8">
        <v>29</v>
      </c>
      <c r="J8">
        <v>27</v>
      </c>
      <c r="K8">
        <f t="shared" si="0"/>
        <v>226</v>
      </c>
      <c r="L8">
        <f t="shared" si="1"/>
        <v>25.111111111111111</v>
      </c>
      <c r="M8" t="str">
        <f t="shared" si="2"/>
        <v xml:space="preserve">pass </v>
      </c>
    </row>
    <row r="9" spans="1:13" x14ac:dyDescent="0.35">
      <c r="A9" t="s">
        <v>7</v>
      </c>
      <c r="B9">
        <v>23</v>
      </c>
      <c r="C9">
        <v>15</v>
      </c>
      <c r="D9">
        <v>10</v>
      </c>
      <c r="E9">
        <v>30</v>
      </c>
      <c r="F9">
        <v>15</v>
      </c>
      <c r="G9">
        <v>29</v>
      </c>
      <c r="H9">
        <v>20</v>
      </c>
      <c r="I9">
        <v>28</v>
      </c>
      <c r="J9">
        <v>28</v>
      </c>
      <c r="K9">
        <f t="shared" si="0"/>
        <v>198</v>
      </c>
      <c r="L9">
        <f t="shared" si="1"/>
        <v>22</v>
      </c>
      <c r="M9" t="str">
        <f t="shared" si="2"/>
        <v>fail</v>
      </c>
    </row>
    <row r="10" spans="1:13" x14ac:dyDescent="0.35">
      <c r="A10" t="s">
        <v>8</v>
      </c>
      <c r="B10">
        <v>27</v>
      </c>
      <c r="C10">
        <v>20</v>
      </c>
      <c r="D10">
        <v>13</v>
      </c>
      <c r="E10">
        <v>22</v>
      </c>
      <c r="F10">
        <v>16</v>
      </c>
      <c r="G10">
        <v>19</v>
      </c>
      <c r="H10">
        <v>26</v>
      </c>
      <c r="I10">
        <v>27</v>
      </c>
      <c r="J10">
        <v>20</v>
      </c>
      <c r="K10">
        <f t="shared" si="0"/>
        <v>190</v>
      </c>
      <c r="L10">
        <f t="shared" si="1"/>
        <v>21.111111111111111</v>
      </c>
      <c r="M10" t="str">
        <f t="shared" si="2"/>
        <v>fail</v>
      </c>
    </row>
    <row r="11" spans="1:13" x14ac:dyDescent="0.35">
      <c r="A11" t="s">
        <v>22</v>
      </c>
      <c r="B11">
        <v>23</v>
      </c>
      <c r="C11">
        <v>24</v>
      </c>
      <c r="D11">
        <v>13</v>
      </c>
      <c r="E11">
        <v>23</v>
      </c>
      <c r="F11">
        <v>16</v>
      </c>
      <c r="G11">
        <v>26</v>
      </c>
      <c r="H11">
        <v>25</v>
      </c>
      <c r="I11">
        <v>24</v>
      </c>
      <c r="J11">
        <v>20</v>
      </c>
      <c r="K11">
        <f t="shared" si="0"/>
        <v>194</v>
      </c>
      <c r="L11">
        <f t="shared" si="1"/>
        <v>21.555555555555557</v>
      </c>
      <c r="M11" t="str">
        <f t="shared" si="2"/>
        <v>fail</v>
      </c>
    </row>
    <row r="12" spans="1:13" x14ac:dyDescent="0.35">
      <c r="A12" t="s">
        <v>23</v>
      </c>
      <c r="B12">
        <v>27</v>
      </c>
      <c r="C12">
        <v>27</v>
      </c>
      <c r="D12">
        <v>14</v>
      </c>
      <c r="E12">
        <v>24</v>
      </c>
      <c r="F12">
        <v>17</v>
      </c>
      <c r="G12">
        <v>30</v>
      </c>
      <c r="H12">
        <v>26</v>
      </c>
      <c r="I12">
        <v>26</v>
      </c>
      <c r="J12">
        <v>29</v>
      </c>
      <c r="K12">
        <f t="shared" si="0"/>
        <v>220</v>
      </c>
      <c r="L12">
        <f t="shared" si="1"/>
        <v>24.444444444444443</v>
      </c>
      <c r="M12" t="str">
        <f t="shared" si="2"/>
        <v>fail</v>
      </c>
    </row>
    <row r="13" spans="1:13" x14ac:dyDescent="0.35">
      <c r="A13" t="s">
        <v>24</v>
      </c>
      <c r="B13">
        <v>26</v>
      </c>
      <c r="C13">
        <v>27</v>
      </c>
      <c r="D13">
        <v>16</v>
      </c>
      <c r="E13">
        <v>29</v>
      </c>
      <c r="F13">
        <v>19</v>
      </c>
      <c r="G13">
        <v>30</v>
      </c>
      <c r="H13">
        <v>27</v>
      </c>
      <c r="I13">
        <v>26</v>
      </c>
      <c r="J13">
        <v>20</v>
      </c>
      <c r="K13">
        <f t="shared" si="0"/>
        <v>220</v>
      </c>
      <c r="L13">
        <f t="shared" si="1"/>
        <v>24.444444444444443</v>
      </c>
      <c r="M13" t="str">
        <f t="shared" si="2"/>
        <v>fail</v>
      </c>
    </row>
    <row r="14" spans="1:13" x14ac:dyDescent="0.35">
      <c r="A14" t="s">
        <v>25</v>
      </c>
      <c r="B14">
        <v>30</v>
      </c>
      <c r="C14">
        <v>28</v>
      </c>
      <c r="D14">
        <v>13</v>
      </c>
      <c r="E14">
        <v>28</v>
      </c>
      <c r="F14">
        <v>10</v>
      </c>
      <c r="G14">
        <v>30</v>
      </c>
      <c r="H14">
        <v>26</v>
      </c>
      <c r="I14">
        <v>29</v>
      </c>
      <c r="J14">
        <v>29</v>
      </c>
      <c r="K14">
        <f t="shared" si="0"/>
        <v>223</v>
      </c>
      <c r="L14">
        <f t="shared" si="1"/>
        <v>24.777777777777779</v>
      </c>
      <c r="M14" t="str">
        <f t="shared" si="2"/>
        <v>fail</v>
      </c>
    </row>
    <row r="15" spans="1:13" x14ac:dyDescent="0.35">
      <c r="A15" t="s">
        <v>26</v>
      </c>
      <c r="B15">
        <v>22</v>
      </c>
      <c r="C15">
        <v>26</v>
      </c>
      <c r="D15">
        <v>12</v>
      </c>
      <c r="E15">
        <v>26</v>
      </c>
      <c r="F15">
        <v>18</v>
      </c>
      <c r="G15">
        <v>23</v>
      </c>
      <c r="H15">
        <v>23</v>
      </c>
      <c r="I15">
        <v>30</v>
      </c>
      <c r="J15">
        <v>26</v>
      </c>
      <c r="K15">
        <f t="shared" si="0"/>
        <v>206</v>
      </c>
      <c r="L15">
        <f t="shared" si="1"/>
        <v>22.888888888888889</v>
      </c>
      <c r="M15" t="str">
        <f t="shared" si="2"/>
        <v>fail</v>
      </c>
    </row>
    <row r="16" spans="1:13" x14ac:dyDescent="0.35">
      <c r="A16" t="s">
        <v>27</v>
      </c>
      <c r="B16">
        <v>26</v>
      </c>
      <c r="C16">
        <v>28</v>
      </c>
      <c r="D16">
        <v>18</v>
      </c>
      <c r="E16">
        <v>21</v>
      </c>
      <c r="F16">
        <v>17</v>
      </c>
      <c r="G16">
        <v>26</v>
      </c>
      <c r="H16">
        <v>24</v>
      </c>
      <c r="I16">
        <v>30</v>
      </c>
      <c r="J16">
        <v>26</v>
      </c>
      <c r="K16">
        <f t="shared" si="0"/>
        <v>216</v>
      </c>
      <c r="L16">
        <f t="shared" si="1"/>
        <v>24</v>
      </c>
      <c r="M16" t="str">
        <f t="shared" si="2"/>
        <v>fail</v>
      </c>
    </row>
    <row r="17" spans="1:14" x14ac:dyDescent="0.35">
      <c r="A17" t="s">
        <v>28</v>
      </c>
      <c r="B17">
        <v>24</v>
      </c>
      <c r="C17">
        <v>29</v>
      </c>
      <c r="D17">
        <v>16</v>
      </c>
      <c r="E17">
        <v>27</v>
      </c>
      <c r="F17">
        <v>16</v>
      </c>
      <c r="G17">
        <v>24</v>
      </c>
      <c r="H17">
        <v>24</v>
      </c>
      <c r="I17">
        <v>20</v>
      </c>
      <c r="J17">
        <v>26</v>
      </c>
      <c r="K17">
        <f t="shared" si="0"/>
        <v>206</v>
      </c>
      <c r="L17">
        <f t="shared" si="1"/>
        <v>22.888888888888889</v>
      </c>
      <c r="M17" t="str">
        <f t="shared" si="2"/>
        <v>fail</v>
      </c>
    </row>
    <row r="18" spans="1:14" x14ac:dyDescent="0.35">
      <c r="A18" t="s">
        <v>29</v>
      </c>
      <c r="B18">
        <v>27</v>
      </c>
      <c r="C18">
        <v>29</v>
      </c>
      <c r="D18">
        <v>16</v>
      </c>
      <c r="E18">
        <v>28</v>
      </c>
      <c r="F18">
        <v>17</v>
      </c>
      <c r="G18">
        <v>25</v>
      </c>
      <c r="H18">
        <v>23</v>
      </c>
      <c r="I18">
        <v>20</v>
      </c>
      <c r="J18">
        <v>30</v>
      </c>
      <c r="K18">
        <f t="shared" si="0"/>
        <v>215</v>
      </c>
      <c r="L18">
        <f t="shared" si="1"/>
        <v>23.888888888888889</v>
      </c>
      <c r="M18" t="str">
        <f t="shared" si="2"/>
        <v>fail</v>
      </c>
    </row>
    <row r="19" spans="1:14" x14ac:dyDescent="0.35">
      <c r="A19" t="s">
        <v>30</v>
      </c>
      <c r="B19">
        <v>27</v>
      </c>
      <c r="C19">
        <v>30</v>
      </c>
      <c r="D19">
        <v>14</v>
      </c>
      <c r="E19">
        <v>24</v>
      </c>
      <c r="F19">
        <v>16</v>
      </c>
      <c r="G19">
        <v>24</v>
      </c>
      <c r="H19">
        <v>24</v>
      </c>
      <c r="I19">
        <v>20</v>
      </c>
      <c r="J19">
        <v>27</v>
      </c>
      <c r="K19">
        <f t="shared" si="0"/>
        <v>206</v>
      </c>
      <c r="L19">
        <f t="shared" si="1"/>
        <v>22.888888888888889</v>
      </c>
      <c r="M19" t="str">
        <f t="shared" si="2"/>
        <v>fail</v>
      </c>
    </row>
    <row r="21" spans="1:14" x14ac:dyDescent="0.35">
      <c r="A21" t="s">
        <v>32</v>
      </c>
      <c r="N21">
        <f>COUNTIF(M2:M19,"pass ")</f>
        <v>3</v>
      </c>
    </row>
    <row r="22" spans="1:14" x14ac:dyDescent="0.35">
      <c r="A22" t="s">
        <v>31</v>
      </c>
      <c r="M22">
        <f>COUNTIF(M2:M19,"fail")</f>
        <v>15</v>
      </c>
    </row>
    <row r="37" spans="1:13" x14ac:dyDescent="0.35">
      <c r="A37" t="s">
        <v>42</v>
      </c>
      <c r="M37">
        <v>2</v>
      </c>
    </row>
    <row r="38" spans="1:13" x14ac:dyDescent="0.35">
      <c r="B38" t="s">
        <v>40</v>
      </c>
      <c r="C38" t="s">
        <v>41</v>
      </c>
    </row>
    <row r="39" spans="1:13" x14ac:dyDescent="0.35">
      <c r="A39" t="s">
        <v>36</v>
      </c>
      <c r="B39">
        <v>35</v>
      </c>
      <c r="C39">
        <v>22</v>
      </c>
    </row>
    <row r="40" spans="1:13" x14ac:dyDescent="0.35">
      <c r="A40" t="s">
        <v>33</v>
      </c>
      <c r="B40">
        <v>34</v>
      </c>
      <c r="C40">
        <v>40</v>
      </c>
    </row>
    <row r="41" spans="1:13" x14ac:dyDescent="0.35">
      <c r="A41" t="s">
        <v>39</v>
      </c>
      <c r="B41">
        <v>190</v>
      </c>
      <c r="C41">
        <v>244</v>
      </c>
    </row>
    <row r="42" spans="1:13" x14ac:dyDescent="0.35">
      <c r="A42" t="s">
        <v>34</v>
      </c>
      <c r="B42">
        <v>12</v>
      </c>
      <c r="C42">
        <v>3</v>
      </c>
    </row>
    <row r="43" spans="1:13" x14ac:dyDescent="0.35">
      <c r="A43" t="s">
        <v>35</v>
      </c>
      <c r="B43">
        <v>20</v>
      </c>
      <c r="C43">
        <v>35</v>
      </c>
    </row>
    <row r="44" spans="1:13" x14ac:dyDescent="0.35">
      <c r="A44" t="s">
        <v>37</v>
      </c>
      <c r="B44">
        <v>48</v>
      </c>
      <c r="C44">
        <v>33</v>
      </c>
    </row>
    <row r="45" spans="1:13" x14ac:dyDescent="0.35">
      <c r="A45" t="s">
        <v>38</v>
      </c>
    </row>
    <row r="47" spans="1:13" x14ac:dyDescent="0.35">
      <c r="A47" t="s">
        <v>19</v>
      </c>
      <c r="B47">
        <f>SUM(B39:B44)</f>
        <v>339</v>
      </c>
      <c r="C47">
        <f>SUM(C39:C44)</f>
        <v>377</v>
      </c>
    </row>
    <row r="48" spans="1:13" x14ac:dyDescent="0.35">
      <c r="A48" t="s">
        <v>20</v>
      </c>
      <c r="B48">
        <f>AVERAGE(B39:B45)</f>
        <v>56.5</v>
      </c>
      <c r="C48">
        <f>AVERAGE(C39:C44)</f>
        <v>62.833333333333336</v>
      </c>
    </row>
    <row r="49" spans="1:1" x14ac:dyDescent="0.35">
      <c r="A49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Carson</dc:creator>
  <cp:lastModifiedBy>Ben Carson</cp:lastModifiedBy>
  <dcterms:created xsi:type="dcterms:W3CDTF">2025-10-25T07:05:39Z</dcterms:created>
  <dcterms:modified xsi:type="dcterms:W3CDTF">2025-10-27T06:37:12Z</dcterms:modified>
</cp:coreProperties>
</file>